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82" documentId="11_C0E26E8C2FF3658481E6AE6DE74C74B31A2D8B7D" xr6:coauthVersionLast="47" xr6:coauthVersionMax="47" xr10:uidLastSave="{4296527D-666C-41B8-A631-91D907291824}"/>
  <bookViews>
    <workbookView xWindow="-120" yWindow="-120" windowWidth="38640" windowHeight="15720" tabRatio="500" activeTab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3" i="4" l="1"/>
  <c r="P143" i="4"/>
  <c r="L143" i="4"/>
  <c r="H143" i="4"/>
  <c r="Q142" i="4"/>
  <c r="P142" i="4"/>
  <c r="L142" i="4"/>
  <c r="H142" i="4"/>
  <c r="Q141" i="4"/>
  <c r="P141" i="4"/>
  <c r="L141" i="4"/>
  <c r="H141" i="4"/>
  <c r="Q140" i="4"/>
  <c r="P140" i="4"/>
  <c r="L140" i="4"/>
  <c r="H140" i="4"/>
  <c r="Q139" i="4"/>
  <c r="P139" i="4"/>
  <c r="L139" i="4"/>
  <c r="H139" i="4"/>
  <c r="Q138" i="4"/>
  <c r="P138" i="4"/>
  <c r="L138" i="4"/>
  <c r="H138" i="4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Q132" i="4"/>
  <c r="P132" i="4"/>
  <c r="L132" i="4"/>
  <c r="H132" i="4"/>
  <c r="Q131" i="4"/>
  <c r="P131" i="4"/>
  <c r="L131" i="4"/>
  <c r="H131" i="4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Q65" i="4"/>
  <c r="P65" i="4"/>
  <c r="L65" i="4"/>
  <c r="H65" i="4"/>
  <c r="M65" i="4" s="1"/>
  <c r="Q64" i="4"/>
  <c r="P64" i="4"/>
  <c r="L64" i="4"/>
  <c r="H64" i="4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M57" i="4" s="1"/>
  <c r="Q56" i="4"/>
  <c r="P56" i="4"/>
  <c r="L56" i="4"/>
  <c r="H56" i="4"/>
  <c r="Q55" i="4"/>
  <c r="P55" i="4"/>
  <c r="L55" i="4"/>
  <c r="H55" i="4"/>
  <c r="Q54" i="4"/>
  <c r="P54" i="4"/>
  <c r="L54" i="4"/>
  <c r="H54" i="4"/>
  <c r="Q53" i="4"/>
  <c r="P53" i="4"/>
  <c r="L53" i="4"/>
  <c r="H53" i="4"/>
  <c r="Q52" i="4"/>
  <c r="P52" i="4"/>
  <c r="L52" i="4"/>
  <c r="H52" i="4"/>
  <c r="Q51" i="4"/>
  <c r="P51" i="4"/>
  <c r="L51" i="4"/>
  <c r="H51" i="4"/>
  <c r="Q50" i="4"/>
  <c r="P50" i="4"/>
  <c r="L50" i="4"/>
  <c r="H50" i="4"/>
  <c r="Q49" i="4"/>
  <c r="P49" i="4"/>
  <c r="L49" i="4"/>
  <c r="H49" i="4"/>
  <c r="Q48" i="4"/>
  <c r="P48" i="4"/>
  <c r="L48" i="4"/>
  <c r="H48" i="4"/>
  <c r="I11" i="6"/>
  <c r="H11" i="6"/>
  <c r="G11" i="6"/>
  <c r="F11" i="6" s="1"/>
  <c r="N3" i="6"/>
  <c r="O13" i="5"/>
  <c r="L13" i="5"/>
  <c r="J13" i="5" s="1"/>
  <c r="K13" i="5" s="1"/>
  <c r="H13" i="5"/>
  <c r="O12" i="5"/>
  <c r="L12" i="5"/>
  <c r="J12" i="5"/>
  <c r="H12" i="5"/>
  <c r="K12" i="5" s="1"/>
  <c r="E21" i="1" s="1"/>
  <c r="O11" i="5"/>
  <c r="L11" i="5"/>
  <c r="K11" i="5"/>
  <c r="J11" i="5"/>
  <c r="H11" i="5"/>
  <c r="O10" i="5"/>
  <c r="L10" i="5"/>
  <c r="J10" i="5"/>
  <c r="H10" i="5"/>
  <c r="K10" i="5" s="1"/>
  <c r="E19" i="1" s="1"/>
  <c r="O9" i="5"/>
  <c r="L9" i="5"/>
  <c r="J9" i="5" s="1"/>
  <c r="K9" i="5" s="1"/>
  <c r="I9" i="5"/>
  <c r="H9" i="5"/>
  <c r="O8" i="5"/>
  <c r="L8" i="5"/>
  <c r="J8" i="5" s="1"/>
  <c r="K8" i="5" s="1"/>
  <c r="H8" i="5"/>
  <c r="O7" i="5"/>
  <c r="L7" i="5"/>
  <c r="K7" i="5"/>
  <c r="C16" i="1" s="1"/>
  <c r="J7" i="5"/>
  <c r="H7" i="5"/>
  <c r="O6" i="5"/>
  <c r="L6" i="5"/>
  <c r="J6" i="5" s="1"/>
  <c r="K6" i="5" s="1"/>
  <c r="H6" i="5"/>
  <c r="O5" i="5"/>
  <c r="L5" i="5"/>
  <c r="J5" i="5" s="1"/>
  <c r="K5" i="5" s="1"/>
  <c r="H5" i="5"/>
  <c r="O4" i="5"/>
  <c r="L4" i="5"/>
  <c r="K4" i="5"/>
  <c r="J4" i="5"/>
  <c r="H4" i="5"/>
  <c r="O3" i="5"/>
  <c r="L3" i="5"/>
  <c r="J3" i="5" s="1"/>
  <c r="K3" i="5" s="1"/>
  <c r="H3" i="5"/>
  <c r="Q47" i="4"/>
  <c r="P47" i="4"/>
  <c r="L47" i="4"/>
  <c r="H47" i="4"/>
  <c r="Q28" i="4"/>
  <c r="P28" i="4"/>
  <c r="L28" i="4"/>
  <c r="H28" i="4"/>
  <c r="Q46" i="4"/>
  <c r="P46" i="4"/>
  <c r="L46" i="4"/>
  <c r="H46" i="4"/>
  <c r="Q45" i="4"/>
  <c r="P45" i="4"/>
  <c r="L45" i="4"/>
  <c r="H45" i="4"/>
  <c r="Q27" i="4"/>
  <c r="P27" i="4"/>
  <c r="L27" i="4"/>
  <c r="H27" i="4"/>
  <c r="Q12" i="4"/>
  <c r="P12" i="4"/>
  <c r="L12" i="4"/>
  <c r="H12" i="4"/>
  <c r="Q44" i="4"/>
  <c r="P44" i="4"/>
  <c r="L44" i="4"/>
  <c r="H44" i="4"/>
  <c r="P43" i="4"/>
  <c r="L43" i="4"/>
  <c r="H43" i="4"/>
  <c r="Q42" i="4"/>
  <c r="P42" i="4"/>
  <c r="L42" i="4"/>
  <c r="H42" i="4"/>
  <c r="M42" i="4" s="1"/>
  <c r="P41" i="4"/>
  <c r="L41" i="4"/>
  <c r="H41" i="4"/>
  <c r="Q40" i="4"/>
  <c r="P40" i="4"/>
  <c r="L40" i="4"/>
  <c r="H40" i="4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Q35" i="4"/>
  <c r="P35" i="4"/>
  <c r="L35" i="4"/>
  <c r="H35" i="4"/>
  <c r="Q34" i="4"/>
  <c r="P34" i="4"/>
  <c r="L34" i="4"/>
  <c r="H34" i="4"/>
  <c r="Q33" i="4"/>
  <c r="P33" i="4"/>
  <c r="L33" i="4"/>
  <c r="H33" i="4"/>
  <c r="M33" i="4" s="1"/>
  <c r="Q32" i="4"/>
  <c r="P32" i="4"/>
  <c r="L32" i="4"/>
  <c r="H32" i="4"/>
  <c r="Q31" i="4"/>
  <c r="P31" i="4"/>
  <c r="L31" i="4"/>
  <c r="H31" i="4"/>
  <c r="Q30" i="4"/>
  <c r="P30" i="4"/>
  <c r="L30" i="4"/>
  <c r="H30" i="4"/>
  <c r="Q29" i="4"/>
  <c r="P29" i="4"/>
  <c r="L29" i="4"/>
  <c r="H29" i="4"/>
  <c r="Q26" i="4"/>
  <c r="P26" i="4"/>
  <c r="L26" i="4"/>
  <c r="H26" i="4"/>
  <c r="Q25" i="4"/>
  <c r="P25" i="4"/>
  <c r="L25" i="4"/>
  <c r="H25" i="4"/>
  <c r="Q24" i="4"/>
  <c r="P24" i="4"/>
  <c r="L24" i="4"/>
  <c r="H24" i="4"/>
  <c r="M24" i="4" s="1"/>
  <c r="Q23" i="4"/>
  <c r="P23" i="4"/>
  <c r="L23" i="4"/>
  <c r="H23" i="4"/>
  <c r="Q22" i="4"/>
  <c r="P22" i="4"/>
  <c r="L22" i="4"/>
  <c r="H22" i="4"/>
  <c r="Q21" i="4"/>
  <c r="P21" i="4"/>
  <c r="L21" i="4"/>
  <c r="H21" i="4"/>
  <c r="Q20" i="4"/>
  <c r="P20" i="4"/>
  <c r="L20" i="4"/>
  <c r="H20" i="4"/>
  <c r="M20" i="4" s="1"/>
  <c r="Q19" i="4"/>
  <c r="P19" i="4"/>
  <c r="L19" i="4"/>
  <c r="H19" i="4"/>
  <c r="Q18" i="4"/>
  <c r="P18" i="4"/>
  <c r="L18" i="4"/>
  <c r="H18" i="4"/>
  <c r="M18" i="4" s="1"/>
  <c r="Q17" i="4"/>
  <c r="P17" i="4"/>
  <c r="L17" i="4"/>
  <c r="H17" i="4"/>
  <c r="P16" i="4"/>
  <c r="L16" i="4"/>
  <c r="H16" i="4"/>
  <c r="Q15" i="4"/>
  <c r="P15" i="4"/>
  <c r="L15" i="4"/>
  <c r="H15" i="4"/>
  <c r="M15" i="4" s="1"/>
  <c r="Q14" i="4"/>
  <c r="P14" i="4"/>
  <c r="L14" i="4"/>
  <c r="H14" i="4"/>
  <c r="Q13" i="4"/>
  <c r="P13" i="4"/>
  <c r="L13" i="4"/>
  <c r="H13" i="4"/>
  <c r="Q11" i="4"/>
  <c r="P11" i="4"/>
  <c r="L11" i="4"/>
  <c r="H11" i="4"/>
  <c r="Q10" i="4"/>
  <c r="P10" i="4"/>
  <c r="L10" i="4"/>
  <c r="H10" i="4"/>
  <c r="M10" i="4" s="1"/>
  <c r="Q9" i="4"/>
  <c r="P9" i="4"/>
  <c r="L9" i="4"/>
  <c r="H9" i="4"/>
  <c r="Q8" i="4"/>
  <c r="P8" i="4"/>
  <c r="L8" i="4"/>
  <c r="H8" i="4"/>
  <c r="Q7" i="4"/>
  <c r="P7" i="4"/>
  <c r="L7" i="4"/>
  <c r="H7" i="4"/>
  <c r="Q6" i="4"/>
  <c r="P6" i="4"/>
  <c r="L6" i="4"/>
  <c r="H6" i="4"/>
  <c r="N15" i="3"/>
  <c r="L15" i="3"/>
  <c r="M15" i="3" s="1"/>
  <c r="H15" i="3"/>
  <c r="N14" i="3"/>
  <c r="L14" i="3"/>
  <c r="M14" i="3" s="1"/>
  <c r="H14" i="3"/>
  <c r="N13" i="3"/>
  <c r="L13" i="3"/>
  <c r="M13" i="3" s="1"/>
  <c r="H13" i="3"/>
  <c r="N12" i="3"/>
  <c r="L12" i="3"/>
  <c r="M12" i="3" s="1"/>
  <c r="H12" i="3"/>
  <c r="N11" i="3"/>
  <c r="L11" i="3"/>
  <c r="M11" i="3" s="1"/>
  <c r="H11" i="3"/>
  <c r="Q10" i="3"/>
  <c r="N10" i="3"/>
  <c r="L10" i="3" s="1"/>
  <c r="M10" i="3" s="1"/>
  <c r="H10" i="3"/>
  <c r="N9" i="3"/>
  <c r="L9" i="3" s="1"/>
  <c r="M9" i="3" s="1"/>
  <c r="H9" i="3"/>
  <c r="N8" i="3"/>
  <c r="L8" i="3" s="1"/>
  <c r="M8" i="3" s="1"/>
  <c r="H8" i="3"/>
  <c r="N7" i="3"/>
  <c r="L7" i="3" s="1"/>
  <c r="M7" i="3" s="1"/>
  <c r="H7" i="3"/>
  <c r="Q6" i="3"/>
  <c r="N6" i="3"/>
  <c r="L6" i="3" s="1"/>
  <c r="M6" i="3" s="1"/>
  <c r="H6" i="3"/>
  <c r="D2" i="3"/>
  <c r="G2" i="3"/>
  <c r="F2" i="3"/>
  <c r="E8" i="1" s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C26" i="1" s="1"/>
  <c r="B30" i="1"/>
  <c r="C28" i="1"/>
  <c r="E26" i="1"/>
  <c r="B21" i="1"/>
  <c r="E20" i="1"/>
  <c r="B20" i="1"/>
  <c r="B19" i="1"/>
  <c r="E16" i="1"/>
  <c r="E13" i="1"/>
  <c r="C13" i="1"/>
  <c r="C18" i="2"/>
  <c r="C12" i="2"/>
  <c r="M49" i="4" l="1"/>
  <c r="F10" i="6"/>
  <c r="M50" i="4"/>
  <c r="M51" i="4"/>
  <c r="M52" i="4"/>
  <c r="M53" i="4"/>
  <c r="M54" i="4"/>
  <c r="M55" i="4"/>
  <c r="M56" i="4"/>
  <c r="M58" i="4"/>
  <c r="M59" i="4"/>
  <c r="M60" i="4"/>
  <c r="M61" i="4"/>
  <c r="M62" i="4"/>
  <c r="M63" i="4"/>
  <c r="M64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44" i="4"/>
  <c r="M48" i="4"/>
  <c r="M46" i="4"/>
  <c r="M39" i="4"/>
  <c r="M41" i="4"/>
  <c r="M27" i="4"/>
  <c r="M34" i="4"/>
  <c r="M38" i="4"/>
  <c r="M9" i="4"/>
  <c r="M12" i="4"/>
  <c r="M6" i="4"/>
  <c r="M8" i="4"/>
  <c r="M17" i="4"/>
  <c r="M19" i="4"/>
  <c r="M21" i="4"/>
  <c r="M23" i="4"/>
  <c r="M31" i="4"/>
  <c r="M37" i="4"/>
  <c r="M43" i="4"/>
  <c r="M22" i="4"/>
  <c r="M30" i="4"/>
  <c r="M16" i="4"/>
  <c r="M45" i="4"/>
  <c r="M11" i="4"/>
  <c r="M14" i="4"/>
  <c r="M26" i="4"/>
  <c r="M35" i="4"/>
  <c r="M13" i="4"/>
  <c r="M7" i="4"/>
  <c r="M32" i="4"/>
  <c r="M28" i="4"/>
  <c r="M36" i="4"/>
  <c r="M25" i="4"/>
  <c r="M29" i="4"/>
  <c r="M40" i="4"/>
  <c r="M47" i="4"/>
  <c r="E14" i="1"/>
  <c r="C13" i="2"/>
  <c r="C14" i="1"/>
  <c r="G2" i="4"/>
  <c r="C3" i="2"/>
  <c r="C15" i="1"/>
  <c r="C14" i="2"/>
  <c r="E15" i="1"/>
  <c r="E17" i="1"/>
  <c r="C16" i="2"/>
  <c r="C17" i="1"/>
  <c r="B9" i="5"/>
  <c r="E11" i="1" s="1"/>
  <c r="E12" i="1"/>
  <c r="C11" i="2" s="1"/>
  <c r="C12" i="1"/>
  <c r="B6" i="5"/>
  <c r="C11" i="1" s="1"/>
  <c r="C18" i="1"/>
  <c r="E18" i="1"/>
  <c r="C17" i="2" s="1"/>
  <c r="E2" i="3"/>
  <c r="C8" i="1" s="1"/>
  <c r="C15" i="2"/>
  <c r="D2" i="4"/>
  <c r="E2" i="4" l="1"/>
  <c r="C9" i="1" s="1"/>
  <c r="D4" i="2" s="1"/>
  <c r="C10" i="1" s="1"/>
  <c r="C3" i="1" s="1"/>
  <c r="F2" i="4"/>
  <c r="E9" i="1" s="1"/>
  <c r="C4" i="2" s="1"/>
  <c r="E10" i="1" s="1"/>
  <c r="E6" i="1" s="1"/>
  <c r="C10" i="2"/>
  <c r="D3" i="2"/>
  <c r="C6" i="1" l="1"/>
  <c r="C20" i="2"/>
  <c r="E3" i="1"/>
</calcChain>
</file>

<file path=xl/sharedStrings.xml><?xml version="1.0" encoding="utf-8"?>
<sst xmlns="http://schemas.openxmlformats.org/spreadsheetml/2006/main" count="463" uniqueCount="232">
  <si>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</si>
  <si>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</si>
  <si>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</si>
  <si>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</si>
  <si>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</si>
  <si>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</si>
  <si>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</si>
  <si>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</si>
  <si>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</si>
  <si>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</si>
  <si>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</si>
  <si>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</si>
  <si>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</si>
  <si>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</si>
  <si>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</si>
  <si>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Verisure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</si>
  <si>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</si>
  <si>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</si>
  <si>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</si>
  <si>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</si>
  <si>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Reembolso Psicóloga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</si>
  <si>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</si>
  <si>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</si>
  <si>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</si>
  <si>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</si>
  <si>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</si>
  <si>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</si>
  <si>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</si>
  <si>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</si>
  <si>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</si>
  <si>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</si>
  <si>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Aguardando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</si>
  <si>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</si>
  <si>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</si>
  <si>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</si>
  <si>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</si>
  <si>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</si>
  <si>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</si>
  <si>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</si>
  <si>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</si>
  <si>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</si>
  <si>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</si>
  <si>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</si>
  <si>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</si>
  <si>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</si>
  <si>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</si>
  <si>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</si>
  <si>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</si>
  <si>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</si>
  <si>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NuBank Total</t>
  </si>
  <si>
    <t>Modo de Pagamento</t>
  </si>
  <si>
    <t>Ração Geleia</t>
  </si>
  <si>
    <t>Parcelado</t>
  </si>
  <si>
    <t>Fixo</t>
  </si>
  <si>
    <t>Manual</t>
  </si>
  <si>
    <t>Assinatura</t>
  </si>
  <si>
    <t>Capacete Stella</t>
  </si>
  <si>
    <t>Moto</t>
  </si>
  <si>
    <t>HDMI Splitter</t>
  </si>
  <si>
    <t>Produtos</t>
  </si>
  <si>
    <t>Caderno Azadi Store</t>
  </si>
  <si>
    <t>Blood of the Dawnwalker - Ricardo</t>
  </si>
  <si>
    <t>Ração Brida</t>
  </si>
  <si>
    <t>Indiana Jones A SER ESTORNADO</t>
  </si>
  <si>
    <t>Jogos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</si>
  <si>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</si>
  <si>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</si>
  <si>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</si>
  <si>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</si>
  <si>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</si>
  <si>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</si>
  <si>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</si>
  <si>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Blood of the Dawnwalker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</si>
  <si>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</si>
  <si>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</si>
  <si>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</si>
  <si>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</si>
  <si>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</si>
  <si>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</si>
  <si>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Silent Hill Townfall</t>
  </si>
  <si>
    <t>Nerdcon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</si>
  <si>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</si>
  <si>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</si>
  <si>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</si>
  <si>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</si>
  <si>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</si>
  <si>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</si>
  <si>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</si>
  <si>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</si>
  <si>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</si>
  <si>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</si>
  <si>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</si>
  <si>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</si>
  <si>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</si>
  <si>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</si>
  <si>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</si>
  <si>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</si>
  <si>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</si>
  <si>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</si>
  <si>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</si>
  <si>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</si>
  <si>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</si>
  <si>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>Mensalidade</t>
  </si>
  <si>
    <t>GamePass</t>
  </si>
  <si>
    <t>Meli+</t>
  </si>
  <si>
    <t>Multa</t>
  </si>
  <si>
    <t>Pontual</t>
  </si>
  <si>
    <t>Transporte</t>
  </si>
  <si>
    <t>Ração Rennala</t>
  </si>
  <si>
    <t>Pet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</si>
  <si>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</si>
  <si>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</si>
  <si>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</si>
  <si>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</si>
  <si>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</si>
  <si>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</si>
  <si>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</si>
  <si>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</si>
  <si>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</si>
  <si>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</si>
  <si>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</si>
  <si>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</si>
  <si>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</si>
  <si>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</si>
  <si>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</si>
  <si>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</si>
  <si>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</si>
  <si>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</si>
  <si>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</si>
  <si>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</si>
  <si>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</si>
  <si>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</si>
  <si>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</si>
  <si>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</si>
  <si>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</si>
  <si>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</si>
  <si>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</si>
  <si>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</si>
  <si>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</si>
  <si>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</si>
  <si>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</si>
  <si>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</si>
  <si>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</si>
  <si>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</si>
  <si>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</si>
  <si>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</si>
  <si>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</si>
  <si>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</si>
  <si>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</si>
  <si>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</si>
  <si>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</si>
  <si>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</si>
  <si>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</si>
  <si>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</si>
  <si>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</si>
  <si>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</si>
  <si>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</si>
  <si>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</si>
  <si>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</si>
  <si>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</si>
  <si>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</si>
  <si>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</si>
  <si>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</si>
  <si>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</si>
  <si>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</si>
  <si>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</si>
  <si>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</si>
  <si>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</si>
  <si>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</si>
  <si>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</si>
  <si>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</si>
  <si>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</si>
  <si>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</si>
  <si>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</si>
  <si>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</si>
  <si>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</si>
  <si>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</si>
  <si>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</si>
  <si>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</si>
  <si>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</si>
  <si>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</si>
  <si>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</si>
  <si>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</si>
  <si>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</si>
  <si>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</si>
  <si>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</si>
  <si>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</si>
  <si>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</si>
  <si>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</si>
  <si>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</si>
  <si>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</si>
  <si>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</si>
  <si>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Sanduba do Barba</t>
  </si>
  <si>
    <t>Ilumeo Agosto - 2º PPT</t>
  </si>
  <si>
    <t>Setembro</t>
  </si>
  <si>
    <t>Passagens - Compradas em agosto</t>
  </si>
  <si>
    <t>Adiantamento Stella Setembro</t>
  </si>
  <si>
    <t>Restituição IR</t>
  </si>
  <si>
    <t>Psicóloga Atrasada</t>
  </si>
  <si>
    <t>NF Stella</t>
  </si>
  <si>
    <t>Custos Rennala</t>
  </si>
  <si>
    <t>Devolução Stella + Recolhimento</t>
  </si>
  <si>
    <t>Novembro</t>
  </si>
  <si>
    <t>Custos Rennala 2</t>
  </si>
  <si>
    <t>Dezembro</t>
  </si>
  <si>
    <t>Janta Anivsersário</t>
  </si>
  <si>
    <t>Ilumeo Dezembro - 3º PPT</t>
  </si>
  <si>
    <t>mr Jones e bonfas</t>
  </si>
  <si>
    <t>Segunda Parcela 13º</t>
  </si>
  <si>
    <t>Adiantamento Stella Outubro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</si>
  <si>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</si>
  <si>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</si>
  <si>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</si>
  <si>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</si>
  <si>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</si>
  <si>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</si>
  <si>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</si>
  <si>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</si>
  <si>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</si>
  <si>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</si>
  <si>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</si>
  <si>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</si>
  <si>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</si>
  <si>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</si>
  <si>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</si>
  <si>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</si>
  <si>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</si>
  <si>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</si>
  <si>
    <t>Vinhos Rappi</t>
  </si>
  <si>
    <t>Comida</t>
  </si>
  <si>
    <t>PAGAMENTO</t>
  </si>
  <si>
    <t>Pagamento Vinhos Rappi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</si>
</sst>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85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164" fontId="14" fillId="10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4" fontId="15" fillId="3" borderId="4" xfId="1" applyNumberFormat="1" applyFont="1" applyFill="1" applyBorder="1" applyAlignment="1">
      <alignment horizontal="center"/>
    </xf>
    <xf numFmtId="0" fontId="0" fillId="0" borderId="6" xfId="0" applyBorder="1"/>
    <xf numFmtId="0" fontId="0" fillId="11" borderId="5" xfId="0" applyFill="1" applyBorder="1" applyAlignment="1">
      <alignment wrapText="1"/>
    </xf>
    <xf numFmtId="0" fontId="0" fillId="12" borderId="5" xfId="0" applyFill="1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  <xf numFmtId="165" fontId="0" fillId="9" borderId="5" xfId="0" applyNumberForma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64" fontId="14" fillId="9" borderId="5" xfId="1" applyNumberFormat="1" applyFill="1" applyBorder="1" applyAlignment="1">
      <alignment horizontal="center"/>
    </xf>
    <xf numFmtId="1" fontId="0" fillId="9" borderId="5" xfId="0" applyNumberForma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21">
    <dxf>
      <fill>
        <patternFill>
          <bgColor theme="4" tint="0.79989013336588644"/>
        </patternFill>
      </fill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1"/>
  <sheetViews>
    <sheetView showGridLines="0" topLeftCell="B1" zoomScaleNormal="100" workbookViewId="0">
      <selection activeCell="C6" sqref="C6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7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8"/>
      <c r="C3" s="6">
        <f>C5-C8-C10-C11-C25+C26+C7+C27</f>
        <v>2062.4889047619045</v>
      </c>
      <c r="D3" s="4"/>
      <c r="E3" s="6">
        <f>E5-E8-E10-E11-E25+E26</f>
        <v>3253.2116666666661</v>
      </c>
    </row>
    <row r="4" spans="2:6" ht="7.5" customHeight="1" x14ac:dyDescent="0.25"/>
    <row r="5" spans="2:6" x14ac:dyDescent="0.25">
      <c r="B5" s="7" t="s">
        <v>3</v>
      </c>
      <c r="C5" s="8">
        <v>10000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-5937.5110952380955</v>
      </c>
      <c r="D6" s="9"/>
      <c r="E6" s="8">
        <f>-SUM(E8,E10,E11)</f>
        <v>-6746.7883333333339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0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3367.1710952380954</v>
      </c>
      <c r="D9" s="9"/>
      <c r="E9" s="8">
        <f>NuBank!F2</f>
        <v>1134.4483333333335</v>
      </c>
    </row>
    <row r="10" spans="2:6" x14ac:dyDescent="0.25">
      <c r="B10" s="10" t="s">
        <v>8</v>
      </c>
      <c r="C10" s="11">
        <f>'Compensasões e Transferências'!D4</f>
        <v>3367.1710952380954</v>
      </c>
      <c r="D10" s="12"/>
      <c r="E10" s="11">
        <f>'Compensasões e Transferências'!C4</f>
        <v>1134.4483333333335</v>
      </c>
    </row>
    <row r="11" spans="2:6" x14ac:dyDescent="0.25">
      <c r="B11" s="7" t="s">
        <v>9</v>
      </c>
      <c r="C11" s="8">
        <f>Contas!B6</f>
        <v>2570.34</v>
      </c>
      <c r="D11" s="9"/>
      <c r="E11" s="8">
        <f>Contas!B9</f>
        <v>5612.34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220</v>
      </c>
      <c r="D14" s="15"/>
      <c r="E14" s="14">
        <f>Contas!K5</f>
        <v>220</v>
      </c>
      <c r="F14" s="16"/>
    </row>
    <row r="15" spans="2:6" outlineLevel="1" x14ac:dyDescent="0.25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25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 x14ac:dyDescent="0.25">
      <c r="B17" s="13" t="s">
        <v>15</v>
      </c>
      <c r="C17" s="14">
        <f>Contas!K8</f>
        <v>112.38500000000001</v>
      </c>
      <c r="D17" s="15"/>
      <c r="E17" s="14">
        <f>Contas!K8</f>
        <v>112.38500000000001</v>
      </c>
    </row>
    <row r="18" spans="2:5" outlineLevel="1" x14ac:dyDescent="0.25">
      <c r="B18" s="13" t="s">
        <v>16</v>
      </c>
      <c r="C18" s="14">
        <f>Contas!$K9+Contas!$K13</f>
        <v>333.5</v>
      </c>
      <c r="D18" s="15"/>
      <c r="E18" s="14">
        <f>Contas!$K9+Contas!$K13</f>
        <v>333.5</v>
      </c>
    </row>
    <row r="19" spans="2:5" outlineLevel="1" x14ac:dyDescent="0.25">
      <c r="B19" s="13" t="str">
        <f>Contas!$D10</f>
        <v>Cartão Itaú da Stella</v>
      </c>
      <c r="C19" s="14"/>
      <c r="D19" s="15"/>
      <c r="E19" s="14">
        <f>Contas!K10</f>
        <v>1000</v>
      </c>
    </row>
    <row r="20" spans="2:5" outlineLevel="1" x14ac:dyDescent="0.25">
      <c r="B20" s="13" t="str">
        <f>Contas!$D11</f>
        <v>Recolhimento INSS</v>
      </c>
      <c r="C20" s="14"/>
      <c r="D20" s="15"/>
      <c r="E20" s="14">
        <f>Contas!K11</f>
        <v>750</v>
      </c>
    </row>
    <row r="21" spans="2:5" outlineLevel="1" x14ac:dyDescent="0.25">
      <c r="B21" s="13" t="str">
        <f>Contas!$D12</f>
        <v>Empréstimo</v>
      </c>
      <c r="C21" s="14"/>
      <c r="D21" s="15"/>
      <c r="E21" s="14">
        <f>Contas!K12</f>
        <v>1292</v>
      </c>
    </row>
    <row r="22" spans="2:5" outlineLevel="1" x14ac:dyDescent="0.25">
      <c r="B22" s="17" t="s">
        <v>17</v>
      </c>
      <c r="C22" s="18"/>
      <c r="D22" s="19"/>
      <c r="E22" s="18"/>
    </row>
    <row r="23" spans="2:5" outlineLevel="1" x14ac:dyDescent="0.25">
      <c r="B23" s="13"/>
      <c r="C23" s="14"/>
      <c r="D23" s="15"/>
      <c r="E23" s="14"/>
    </row>
    <row r="24" spans="2:5" outlineLevel="1" x14ac:dyDescent="0.25">
      <c r="B24" s="13"/>
      <c r="C24" s="14"/>
      <c r="D24" s="15"/>
      <c r="E24" s="14"/>
    </row>
    <row r="25" spans="2:5" x14ac:dyDescent="0.25">
      <c r="B25" s="7" t="s">
        <v>18</v>
      </c>
      <c r="C25" s="8">
        <v>2000</v>
      </c>
      <c r="D25" s="9"/>
      <c r="E25" s="8"/>
    </row>
    <row r="26" spans="2:5" x14ac:dyDescent="0.25">
      <c r="B26" s="7" t="s">
        <v>19</v>
      </c>
      <c r="C26" s="8">
        <f>SUM(C28:C39)</f>
        <v>0</v>
      </c>
      <c r="D26" s="8"/>
      <c r="E26" s="8">
        <f>SUM(E28:E37)</f>
        <v>0</v>
      </c>
    </row>
    <row r="27" spans="2:5" x14ac:dyDescent="0.25">
      <c r="B27" s="13" t="s">
        <v>20</v>
      </c>
      <c r="C27" s="8"/>
      <c r="D27" s="8"/>
      <c r="E27" s="8"/>
    </row>
    <row r="28" spans="2:5" outlineLevel="1" x14ac:dyDescent="0.25">
      <c r="B28" s="13" t="s">
        <v>21</v>
      </c>
      <c r="C28" s="14" t="str">
        <f>IF('NuConta e Poupança'!M5="Sim",'NuConta e Poupança'!N5,"")</f>
        <v/>
      </c>
      <c r="D28" s="15"/>
      <c r="E28" s="14"/>
    </row>
    <row r="29" spans="2:5" outlineLevel="1" x14ac:dyDescent="0.25">
      <c r="B29" s="13" t="s">
        <v>22</v>
      </c>
      <c r="C29" s="14"/>
      <c r="D29" s="20"/>
      <c r="E29" s="21"/>
    </row>
    <row r="30" spans="2:5" outlineLevel="1" x14ac:dyDescent="0.25">
      <c r="B30" s="13" t="str">
        <f>"       "&amp;'NuConta e Poupança'!L7</f>
        <v xml:space="preserve">       </v>
      </c>
      <c r="C30" s="14" t="str">
        <f>IF('NuConta e Poupança'!M7="Sim",'NuConta e Poupança'!N7,"")</f>
        <v/>
      </c>
      <c r="D30" s="20"/>
      <c r="E30" s="21"/>
    </row>
    <row r="31" spans="2:5" outlineLevel="1" x14ac:dyDescent="0.25">
      <c r="B31" s="13" t="str">
        <f>"       "&amp;'NuConta e Poupança'!L8</f>
        <v xml:space="preserve">       </v>
      </c>
      <c r="C31" s="14" t="str">
        <f>IF('NuConta e Poupança'!M8="Sim",'NuConta e Poupança'!N8,"")</f>
        <v/>
      </c>
      <c r="D31" s="20"/>
      <c r="E31" s="21"/>
    </row>
    <row r="32" spans="2:5" outlineLevel="1" x14ac:dyDescent="0.25">
      <c r="B32" s="13" t="str">
        <f>"       "&amp;'NuConta e Poupança'!L9</f>
        <v xml:space="preserve">       </v>
      </c>
      <c r="C32" s="14" t="str">
        <f>IF('NuConta e Poupança'!M9="Sim",'NuConta e Poupança'!N9,"")</f>
        <v/>
      </c>
      <c r="D32" s="20"/>
      <c r="E32" s="21"/>
    </row>
    <row r="33" spans="2:6" outlineLevel="1" x14ac:dyDescent="0.25">
      <c r="B33" s="13" t="str">
        <f>"       "&amp;'NuConta e Poupança'!L10</f>
        <v xml:space="preserve">       </v>
      </c>
      <c r="C33" s="14" t="str">
        <f>IF('NuConta e Poupança'!M10="Sim",'NuConta e Poupança'!N10,"")</f>
        <v/>
      </c>
      <c r="D33" s="20"/>
      <c r="E33" s="21"/>
    </row>
    <row r="34" spans="2:6" outlineLevel="1" x14ac:dyDescent="0.25">
      <c r="B34" s="13" t="str">
        <f>"       "&amp;'NuConta e Poupança'!L12</f>
        <v xml:space="preserve">       </v>
      </c>
      <c r="C34" s="14" t="str">
        <f>IF('NuConta e Poupança'!M12="Sim",'NuConta e Poupança'!N11,"")</f>
        <v/>
      </c>
      <c r="D34" s="20"/>
      <c r="E34" s="21"/>
    </row>
    <row r="35" spans="2:6" outlineLevel="1" x14ac:dyDescent="0.25">
      <c r="B35" s="13" t="str">
        <f>"       "&amp;'NuConta e Poupança'!L13</f>
        <v xml:space="preserve">       </v>
      </c>
      <c r="C35" s="14" t="str">
        <f>IF('NuConta e Poupança'!M13="Sim",'NuConta e Poupança'!N12,"")</f>
        <v/>
      </c>
      <c r="D35" s="20"/>
      <c r="E35" s="21"/>
    </row>
    <row r="36" spans="2:6" outlineLevel="1" x14ac:dyDescent="0.25">
      <c r="B36" s="13" t="str">
        <f>"       "&amp;'NuConta e Poupança'!L14</f>
        <v xml:space="preserve">       </v>
      </c>
      <c r="C36" s="14" t="str">
        <f>IF('NuConta e Poupança'!M14="Sim",'NuConta e Poupança'!N13,"")</f>
        <v/>
      </c>
      <c r="D36" s="20"/>
      <c r="E36" s="21"/>
    </row>
    <row r="37" spans="2:6" outlineLevel="1" x14ac:dyDescent="0.25">
      <c r="B37" s="13" t="str">
        <f>"       "&amp;'NuConta e Poupança'!L15</f>
        <v xml:space="preserve">       </v>
      </c>
      <c r="C37" s="14" t="str">
        <f>IF('NuConta e Poupança'!M15="Sim",'NuConta e Poupança'!N14,"")</f>
        <v/>
      </c>
      <c r="D37" s="20"/>
      <c r="E37" s="21"/>
    </row>
    <row r="38" spans="2:6" x14ac:dyDescent="0.25">
      <c r="B38" s="13" t="str">
        <f>"       "&amp;'NuConta e Poupança'!L16</f>
        <v xml:space="preserve">       </v>
      </c>
      <c r="C38" s="14" t="str">
        <f>IF('NuConta e Poupança'!M16="Sim",'NuConta e Poupança'!N15,"")</f>
        <v/>
      </c>
      <c r="D38" s="20"/>
      <c r="E38" s="21"/>
      <c r="F38" s="16"/>
    </row>
    <row r="39" spans="2:6" x14ac:dyDescent="0.25">
      <c r="B39" s="13" t="str">
        <f>"       "&amp;'NuConta e Poupança'!L17</f>
        <v xml:space="preserve">       </v>
      </c>
      <c r="C39" s="14" t="str">
        <f>IF('NuConta e Poupança'!M17="Sim",'NuConta e Poupança'!N16,"")</f>
        <v/>
      </c>
      <c r="D39" s="20"/>
      <c r="E39" s="21"/>
      <c r="F39" s="16"/>
    </row>
    <row r="40" spans="2:6" x14ac:dyDescent="0.25">
      <c r="B40" s="13" t="str">
        <f>"       "&amp;'NuConta e Poupança'!L21</f>
        <v xml:space="preserve">       </v>
      </c>
      <c r="C40" s="14" t="str">
        <f>IF('NuConta e Poupança'!M21="Sim",'NuConta e Poupança'!N20,"")</f>
        <v/>
      </c>
      <c r="D40" s="20"/>
      <c r="E40" s="21"/>
    </row>
    <row r="41" spans="2:6" x14ac:dyDescent="0.25">
      <c r="B41" s="13" t="str">
        <f>"       "&amp;'NuConta e Poupança'!L22</f>
        <v xml:space="preserve">       </v>
      </c>
      <c r="C41" s="14" t="str">
        <f>IF('NuConta e Poupança'!M22="Sim",'NuConta e Poupança'!N21,"")</f>
        <v/>
      </c>
      <c r="D41" s="20"/>
      <c r="E41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4"/>
  <sheetViews>
    <sheetView showGridLines="0" topLeftCell="B1" zoomScaleNormal="100" workbookViewId="0">
      <selection activeCell="C23" sqref="C23"/>
    </sheetView>
  </sheetViews>
  <sheetFormatPr defaultColWidth="8.7109375" defaultRowHeight="15" x14ac:dyDescent="0.2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6</v>
      </c>
      <c r="C3" s="8">
        <f>Saldo!E8</f>
        <v>0</v>
      </c>
      <c r="D3" s="24">
        <f>Saldo!C8</f>
        <v>0</v>
      </c>
    </row>
    <row r="4" spans="2:4" x14ac:dyDescent="0.25">
      <c r="B4" s="7" t="s">
        <v>7</v>
      </c>
      <c r="C4" s="8">
        <f>Saldo!E9+C5</f>
        <v>1134.4483333333335</v>
      </c>
      <c r="D4" s="24">
        <f>Saldo!C9+D5</f>
        <v>3367.1710952380954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9</v>
      </c>
      <c r="C10" s="8">
        <f>SUM(C11,C13:C18)</f>
        <v>3098.34</v>
      </c>
      <c r="D10" s="7"/>
    </row>
    <row r="11" spans="2:4" x14ac:dyDescent="0.25">
      <c r="B11" s="13" t="s">
        <v>23</v>
      </c>
      <c r="C11" s="14">
        <f>Saldo!E12</f>
        <v>1617.835</v>
      </c>
      <c r="D11" s="13"/>
    </row>
    <row r="12" spans="2:4" x14ac:dyDescent="0.25">
      <c r="B12" s="25" t="s">
        <v>24</v>
      </c>
      <c r="C12" s="26">
        <f>Contas!K4</f>
        <v>222</v>
      </c>
      <c r="D12" s="13"/>
    </row>
    <row r="13" spans="2:4" x14ac:dyDescent="0.25">
      <c r="B13" s="13" t="s">
        <v>12</v>
      </c>
      <c r="C13" s="14">
        <f>Contas!K5</f>
        <v>220</v>
      </c>
      <c r="D13" s="13"/>
    </row>
    <row r="14" spans="2:4" x14ac:dyDescent="0.25">
      <c r="B14" s="13" t="s">
        <v>13</v>
      </c>
      <c r="C14" s="14">
        <f>Contas!K6</f>
        <v>40.619999999999997</v>
      </c>
      <c r="D14" s="13"/>
    </row>
    <row r="15" spans="2:4" x14ac:dyDescent="0.25">
      <c r="B15" s="13" t="s">
        <v>14</v>
      </c>
      <c r="C15" s="14">
        <f>Contas!K7</f>
        <v>24</v>
      </c>
      <c r="D15" s="13"/>
    </row>
    <row r="16" spans="2:4" x14ac:dyDescent="0.25">
      <c r="B16" s="13" t="s">
        <v>15</v>
      </c>
      <c r="C16" s="14">
        <f>Contas!K8</f>
        <v>112.38500000000001</v>
      </c>
      <c r="D16" s="13"/>
    </row>
    <row r="17" spans="2:4" x14ac:dyDescent="0.25">
      <c r="B17" s="13" t="s">
        <v>25</v>
      </c>
      <c r="C17" s="14">
        <f>Saldo!E18</f>
        <v>333.5</v>
      </c>
      <c r="D17" s="13"/>
    </row>
    <row r="18" spans="2:4" x14ac:dyDescent="0.25">
      <c r="B18" s="13" t="s">
        <v>26</v>
      </c>
      <c r="C18" s="14">
        <f>Saldo!E20</f>
        <v>750</v>
      </c>
      <c r="D18" s="13"/>
    </row>
    <row r="19" spans="2:4" x14ac:dyDescent="0.25">
      <c r="B19" s="13"/>
      <c r="C19" s="14"/>
      <c r="D19" s="13"/>
    </row>
    <row r="20" spans="2:4" x14ac:dyDescent="0.25">
      <c r="B20" s="10" t="s">
        <v>27</v>
      </c>
      <c r="C20" s="11">
        <f>SUM(C3,C4,C5,C10)</f>
        <v>4232.7883333333339</v>
      </c>
      <c r="D20" s="27"/>
    </row>
    <row r="21" spans="2:4" x14ac:dyDescent="0.25">
      <c r="C21" s="1"/>
    </row>
    <row r="22" spans="2:4" x14ac:dyDescent="0.25">
      <c r="B22" t="s">
        <v>28</v>
      </c>
      <c r="C22" s="73">
        <v>5587.2758333333331</v>
      </c>
    </row>
    <row r="23" spans="2:4" x14ac:dyDescent="0.25">
      <c r="B23" t="s">
        <v>29</v>
      </c>
      <c r="C23" s="69">
        <v>46295</v>
      </c>
    </row>
    <row r="24" spans="2:4" x14ac:dyDescent="0.25">
      <c r="B24" t="s">
        <v>30</v>
      </c>
      <c r="C24" s="69" t="s">
        <v>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A5" sqref="A5:XFD5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32</v>
      </c>
      <c r="E1" s="30" t="s">
        <v>1</v>
      </c>
      <c r="F1" s="30" t="s">
        <v>2</v>
      </c>
      <c r="G1" s="30" t="s">
        <v>33</v>
      </c>
    </row>
    <row r="2" spans="3:17" ht="19.5" customHeight="1" x14ac:dyDescent="0.25">
      <c r="D2" s="31">
        <f>SUM(L5:L21)</f>
        <v>0</v>
      </c>
      <c r="E2" s="32">
        <f>SUMIF($E$5:$E$29,E1,$M$5:$M$29)</f>
        <v>0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34</v>
      </c>
      <c r="D4" s="33" t="s">
        <v>35</v>
      </c>
      <c r="E4" s="33" t="s">
        <v>36</v>
      </c>
      <c r="F4" s="33" t="s">
        <v>37</v>
      </c>
      <c r="G4" s="33" t="s">
        <v>38</v>
      </c>
      <c r="H4" s="34" t="s">
        <v>39</v>
      </c>
      <c r="I4" s="33" t="s">
        <v>40</v>
      </c>
      <c r="J4" s="33" t="s">
        <v>41</v>
      </c>
      <c r="K4" s="33" t="s">
        <v>42</v>
      </c>
      <c r="L4" s="34" t="s">
        <v>43</v>
      </c>
      <c r="M4" s="34" t="s">
        <v>44</v>
      </c>
      <c r="N4" s="34" t="s">
        <v>45</v>
      </c>
      <c r="O4" s="33" t="s">
        <v>46</v>
      </c>
      <c r="P4" s="33" t="s">
        <v>47</v>
      </c>
      <c r="Q4" s="34" t="s">
        <v>48</v>
      </c>
    </row>
    <row r="5" spans="3:17" ht="16.5" customHeight="1" x14ac:dyDescent="0.25">
      <c r="C5" s="68"/>
      <c r="D5" s="36"/>
      <c r="E5" s="37"/>
      <c r="F5" s="37"/>
      <c r="G5" s="37"/>
      <c r="H5" s="37"/>
      <c r="I5" s="38"/>
      <c r="J5" s="38"/>
      <c r="K5" s="37"/>
      <c r="L5" s="38"/>
      <c r="M5" s="38"/>
      <c r="N5" s="39"/>
      <c r="O5" s="64"/>
      <c r="P5" s="64"/>
      <c r="Q5" s="37"/>
    </row>
    <row r="6" spans="3:17" ht="16.5" customHeight="1" x14ac:dyDescent="0.25">
      <c r="C6" s="37"/>
      <c r="D6" s="36"/>
      <c r="E6" s="37"/>
      <c r="F6" s="37"/>
      <c r="G6" s="37"/>
      <c r="H6" s="37">
        <f t="shared" ref="H6:H15" si="0">COUNTA(E6:G6)</f>
        <v>0</v>
      </c>
      <c r="I6" s="38"/>
      <c r="J6" s="38"/>
      <c r="K6" s="37"/>
      <c r="L6" s="38">
        <f t="shared" ref="L6:L15" si="1">I6/N6</f>
        <v>0</v>
      </c>
      <c r="M6" s="38" t="str">
        <f t="shared" ref="M6:M15" si="2">IFERROR(L6/H6,"")</f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0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3"/>
  <sheetViews>
    <sheetView showGridLines="0" tabSelected="1" topLeftCell="A17" zoomScale="80" zoomScaleNormal="80" workbookViewId="0">
      <selection activeCell="C51" sqref="C51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49</v>
      </c>
      <c r="E1" s="30" t="s">
        <v>1</v>
      </c>
      <c r="F1" s="30" t="s">
        <v>2</v>
      </c>
      <c r="G1" s="30" t="s">
        <v>33</v>
      </c>
      <c r="L1" s="43"/>
      <c r="P1" s="2"/>
    </row>
    <row r="2" spans="3:17" ht="19.5" customHeight="1" x14ac:dyDescent="0.25">
      <c r="D2" s="45">
        <f>SUM(L6:L185)</f>
        <v>6621.6194285714291</v>
      </c>
      <c r="E2" s="32">
        <f>SUMIF($E$6:$E$185,E1,$M$6:$M$185)</f>
        <v>3367.1710952380954</v>
      </c>
      <c r="F2" s="32">
        <f>SUMIF($F$6:$F$185,F1,$M$6:$M$185)</f>
        <v>1134.4483333333335</v>
      </c>
      <c r="G2" s="32">
        <f>SUMIF($G$6:$G$185,G1,$M$6:$M$185)</f>
        <v>0</v>
      </c>
      <c r="H2" s="16"/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35</v>
      </c>
      <c r="E5" s="33" t="s">
        <v>36</v>
      </c>
      <c r="F5" s="33" t="s">
        <v>37</v>
      </c>
      <c r="G5" s="33" t="s">
        <v>38</v>
      </c>
      <c r="H5" s="34" t="s">
        <v>39</v>
      </c>
      <c r="I5" s="33" t="s">
        <v>40</v>
      </c>
      <c r="J5" s="33" t="s">
        <v>50</v>
      </c>
      <c r="K5" s="33" t="s">
        <v>42</v>
      </c>
      <c r="L5" s="34" t="s">
        <v>43</v>
      </c>
      <c r="M5" s="34" t="s">
        <v>44</v>
      </c>
      <c r="N5" s="34" t="s">
        <v>45</v>
      </c>
      <c r="O5" s="33" t="s">
        <v>46</v>
      </c>
      <c r="P5" s="33" t="s">
        <v>47</v>
      </c>
      <c r="Q5" s="34" t="s">
        <v>48</v>
      </c>
    </row>
    <row r="6" spans="3:17" x14ac:dyDescent="0.25">
      <c r="C6" s="35"/>
      <c r="D6" s="36" t="s">
        <v>51</v>
      </c>
      <c r="E6" s="37" t="s">
        <v>1</v>
      </c>
      <c r="F6" s="37" t="s">
        <v>2</v>
      </c>
      <c r="G6" s="37"/>
      <c r="H6" s="37">
        <f t="shared" ref="H6:H48" si="0">COUNTA(E6:G6)</f>
        <v>2</v>
      </c>
      <c r="I6" s="38">
        <v>359</v>
      </c>
      <c r="J6" s="38" t="s">
        <v>52</v>
      </c>
      <c r="K6" s="37" t="s">
        <v>53</v>
      </c>
      <c r="L6" s="38">
        <f t="shared" ref="L6:L48" si="1">I6/N6</f>
        <v>179.5</v>
      </c>
      <c r="M6" s="38">
        <f t="shared" ref="M6:M48" si="2">IFERROR(L6/H6,"")</f>
        <v>89.75</v>
      </c>
      <c r="N6" s="39">
        <v>2</v>
      </c>
      <c r="O6" s="64">
        <v>46056</v>
      </c>
      <c r="P6" s="64">
        <f t="shared" ref="P6:P48" si="3">IF(N6&lt;&gt;1,EDATE(O6,N6-1),"")</f>
        <v>46084</v>
      </c>
      <c r="Q6" s="37">
        <f t="shared" ref="Q6:Q15" ca="1" si="4">IF(O6&lt;&gt;"",IFERROR(DATEDIF(O6,TODAY(),"m")+1,""),"")</f>
        <v>9</v>
      </c>
    </row>
    <row r="7" spans="3:17" x14ac:dyDescent="0.25">
      <c r="C7" s="35"/>
      <c r="D7" s="36" t="s">
        <v>54</v>
      </c>
      <c r="E7" s="37" t="s">
        <v>1</v>
      </c>
      <c r="F7" s="37"/>
      <c r="G7" s="37"/>
      <c r="H7" s="37">
        <f t="shared" si="0"/>
        <v>1</v>
      </c>
      <c r="I7" s="38">
        <v>258</v>
      </c>
      <c r="J7" s="38" t="s">
        <v>55</v>
      </c>
      <c r="K7" s="37" t="s">
        <v>55</v>
      </c>
      <c r="L7" s="38">
        <f t="shared" si="1"/>
        <v>86</v>
      </c>
      <c r="M7" s="38">
        <f t="shared" si="2"/>
        <v>86</v>
      </c>
      <c r="N7" s="39">
        <v>3</v>
      </c>
      <c r="O7" s="64">
        <v>46056</v>
      </c>
      <c r="P7" s="64">
        <f t="shared" si="3"/>
        <v>46115</v>
      </c>
      <c r="Q7" s="37">
        <f t="shared" ca="1" si="4"/>
        <v>9</v>
      </c>
    </row>
    <row r="8" spans="3:17" x14ac:dyDescent="0.25">
      <c r="C8" s="35"/>
      <c r="D8" s="75" t="s">
        <v>56</v>
      </c>
      <c r="E8" s="37"/>
      <c r="F8" s="37" t="s">
        <v>2</v>
      </c>
      <c r="G8" s="37"/>
      <c r="H8" s="37">
        <f t="shared" si="0"/>
        <v>1</v>
      </c>
      <c r="I8" s="38">
        <v>973.02</v>
      </c>
      <c r="J8" s="38" t="s">
        <v>52</v>
      </c>
      <c r="K8" s="38" t="s">
        <v>57</v>
      </c>
      <c r="L8" s="38">
        <f t="shared" si="1"/>
        <v>81.084999999999994</v>
      </c>
      <c r="M8" s="38">
        <f t="shared" si="2"/>
        <v>81.084999999999994</v>
      </c>
      <c r="N8" s="39">
        <v>12</v>
      </c>
      <c r="O8" s="64">
        <v>45994</v>
      </c>
      <c r="P8" s="64">
        <f t="shared" si="3"/>
        <v>46329</v>
      </c>
      <c r="Q8" s="37">
        <f t="shared" ca="1" si="4"/>
        <v>11</v>
      </c>
    </row>
    <row r="9" spans="3:17" x14ac:dyDescent="0.25">
      <c r="C9" s="35"/>
      <c r="D9" s="75" t="s">
        <v>58</v>
      </c>
      <c r="E9" s="37" t="s">
        <v>1</v>
      </c>
      <c r="F9" s="37"/>
      <c r="G9" s="37"/>
      <c r="H9" s="37">
        <f t="shared" si="0"/>
        <v>1</v>
      </c>
      <c r="I9" s="38">
        <v>379</v>
      </c>
      <c r="J9" s="38" t="s">
        <v>52</v>
      </c>
      <c r="K9" s="38" t="s">
        <v>59</v>
      </c>
      <c r="L9" s="38">
        <f t="shared" si="1"/>
        <v>54.142857142857146</v>
      </c>
      <c r="M9" s="38">
        <f t="shared" si="2"/>
        <v>54.142857142857146</v>
      </c>
      <c r="N9" s="39">
        <v>7</v>
      </c>
      <c r="O9" s="64">
        <v>46145</v>
      </c>
      <c r="P9" s="64">
        <f t="shared" si="3"/>
        <v>46329</v>
      </c>
      <c r="Q9" s="37">
        <f t="shared" ca="1" si="4"/>
        <v>6</v>
      </c>
    </row>
    <row r="10" spans="3:17" x14ac:dyDescent="0.25">
      <c r="C10" s="35"/>
      <c r="D10" s="75" t="s">
        <v>60</v>
      </c>
      <c r="E10" s="37" t="s">
        <v>1</v>
      </c>
      <c r="F10" s="37"/>
      <c r="G10" s="37"/>
      <c r="H10" s="37">
        <f t="shared" si="0"/>
        <v>1</v>
      </c>
      <c r="I10" s="38">
        <v>297</v>
      </c>
      <c r="J10" s="38" t="s">
        <v>52</v>
      </c>
      <c r="K10" s="38" t="s">
        <v>59</v>
      </c>
      <c r="L10" s="38">
        <f t="shared" si="1"/>
        <v>49.5</v>
      </c>
      <c r="M10" s="38">
        <f t="shared" si="2"/>
        <v>49.5</v>
      </c>
      <c r="N10" s="39">
        <v>6</v>
      </c>
      <c r="O10" s="64">
        <v>46176</v>
      </c>
      <c r="P10" s="64">
        <f t="shared" si="3"/>
        <v>46329</v>
      </c>
      <c r="Q10" s="37">
        <f t="shared" ca="1" si="4"/>
        <v>5</v>
      </c>
    </row>
    <row r="11" spans="3:17" x14ac:dyDescent="0.25">
      <c r="C11" s="35"/>
      <c r="D11" s="75" t="s">
        <v>61</v>
      </c>
      <c r="E11" s="37" t="s">
        <v>1</v>
      </c>
      <c r="F11" s="37"/>
      <c r="G11" s="37"/>
      <c r="H11" s="37">
        <f t="shared" si="0"/>
        <v>1</v>
      </c>
      <c r="I11" s="38">
        <v>326.99</v>
      </c>
      <c r="J11" s="38" t="s">
        <v>52</v>
      </c>
      <c r="K11" s="38" t="s">
        <v>59</v>
      </c>
      <c r="L11" s="38">
        <f t="shared" si="1"/>
        <v>108.99666666666667</v>
      </c>
      <c r="M11" s="38">
        <f t="shared" si="2"/>
        <v>108.99666666666667</v>
      </c>
      <c r="N11" s="39">
        <v>3</v>
      </c>
      <c r="O11" s="64">
        <v>46268</v>
      </c>
      <c r="P11" s="64">
        <f t="shared" si="3"/>
        <v>46329</v>
      </c>
      <c r="Q11" s="37">
        <f t="shared" ca="1" si="4"/>
        <v>2</v>
      </c>
    </row>
    <row r="12" spans="3:17" x14ac:dyDescent="0.25">
      <c r="C12" s="35"/>
      <c r="D12" s="75" t="s">
        <v>62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217.85</v>
      </c>
      <c r="J12" s="38" t="s">
        <v>52</v>
      </c>
      <c r="K12" s="38" t="s">
        <v>53</v>
      </c>
      <c r="L12" s="38">
        <f t="shared" si="1"/>
        <v>108.925</v>
      </c>
      <c r="M12" s="38">
        <f t="shared" si="2"/>
        <v>54.462499999999999</v>
      </c>
      <c r="N12" s="39">
        <v>2</v>
      </c>
      <c r="O12" s="64">
        <v>46298</v>
      </c>
      <c r="P12" s="64">
        <f t="shared" si="3"/>
        <v>46329</v>
      </c>
      <c r="Q12" s="37">
        <f t="shared" ca="1" si="4"/>
        <v>1</v>
      </c>
    </row>
    <row r="13" spans="3:17" x14ac:dyDescent="0.25">
      <c r="C13" s="35"/>
      <c r="D13" s="65" t="s">
        <v>63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209.94</v>
      </c>
      <c r="J13" s="38" t="s">
        <v>52</v>
      </c>
      <c r="K13" s="38" t="s">
        <v>64</v>
      </c>
      <c r="L13" s="38">
        <f t="shared" si="1"/>
        <v>52.484999999999999</v>
      </c>
      <c r="M13" s="38">
        <f t="shared" si="2"/>
        <v>26.2425</v>
      </c>
      <c r="N13" s="39">
        <v>4</v>
      </c>
      <c r="O13" s="64">
        <v>46268</v>
      </c>
      <c r="P13" s="64">
        <f t="shared" si="3"/>
        <v>46359</v>
      </c>
      <c r="Q13" s="37">
        <f t="shared" ca="1" si="4"/>
        <v>2</v>
      </c>
    </row>
    <row r="14" spans="3:17" x14ac:dyDescent="0.25">
      <c r="C14" s="35"/>
      <c r="D14" s="65" t="s">
        <v>65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249.5</v>
      </c>
      <c r="J14" s="38" t="s">
        <v>52</v>
      </c>
      <c r="K14" s="38" t="s">
        <v>64</v>
      </c>
      <c r="L14" s="38">
        <f t="shared" si="1"/>
        <v>62.375</v>
      </c>
      <c r="M14" s="38">
        <f t="shared" si="2"/>
        <v>31.1875</v>
      </c>
      <c r="N14" s="39">
        <v>4</v>
      </c>
      <c r="O14" s="64">
        <v>46268</v>
      </c>
      <c r="P14" s="64">
        <f t="shared" si="3"/>
        <v>46359</v>
      </c>
      <c r="Q14" s="37">
        <f t="shared" ca="1" si="4"/>
        <v>2</v>
      </c>
    </row>
    <row r="15" spans="3:17" x14ac:dyDescent="0.25">
      <c r="C15" s="35"/>
      <c r="D15" s="65" t="s">
        <v>66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-209.94</v>
      </c>
      <c r="J15" s="38" t="s">
        <v>52</v>
      </c>
      <c r="K15" s="38" t="s">
        <v>64</v>
      </c>
      <c r="L15" s="38">
        <f t="shared" si="1"/>
        <v>-52.484999999999999</v>
      </c>
      <c r="M15" s="38">
        <f t="shared" si="2"/>
        <v>-26.2425</v>
      </c>
      <c r="N15" s="39">
        <v>4</v>
      </c>
      <c r="O15" s="64">
        <v>46268</v>
      </c>
      <c r="P15" s="64">
        <f t="shared" si="3"/>
        <v>46359</v>
      </c>
      <c r="Q15" s="37">
        <f t="shared" ca="1" si="4"/>
        <v>2</v>
      </c>
    </row>
    <row r="16" spans="3:17" x14ac:dyDescent="0.25">
      <c r="C16" s="35"/>
      <c r="D16" s="76" t="s">
        <v>67</v>
      </c>
      <c r="E16" s="37" t="s">
        <v>1</v>
      </c>
      <c r="F16" s="37" t="s">
        <v>2</v>
      </c>
      <c r="G16" s="37"/>
      <c r="H16" s="37">
        <f t="shared" si="0"/>
        <v>2</v>
      </c>
      <c r="I16" s="38">
        <v>506</v>
      </c>
      <c r="J16" s="38" t="s">
        <v>52</v>
      </c>
      <c r="K16" s="38" t="s">
        <v>59</v>
      </c>
      <c r="L16" s="38">
        <f t="shared" si="1"/>
        <v>50.6</v>
      </c>
      <c r="M16" s="38">
        <f t="shared" si="2"/>
        <v>25.3</v>
      </c>
      <c r="N16" s="39">
        <v>10</v>
      </c>
      <c r="O16" s="64">
        <v>46115</v>
      </c>
      <c r="P16" s="64">
        <f t="shared" si="3"/>
        <v>46390</v>
      </c>
      <c r="Q16" s="37"/>
    </row>
    <row r="17" spans="3:17" x14ac:dyDescent="0.25">
      <c r="C17" s="35"/>
      <c r="D17" s="76" t="s">
        <v>68</v>
      </c>
      <c r="E17" s="37" t="s">
        <v>1</v>
      </c>
      <c r="F17" s="37"/>
      <c r="G17" s="37"/>
      <c r="H17" s="37">
        <f t="shared" si="0"/>
        <v>1</v>
      </c>
      <c r="I17" s="38">
        <v>399.9</v>
      </c>
      <c r="J17" s="38" t="s">
        <v>52</v>
      </c>
      <c r="K17" s="38" t="s">
        <v>69</v>
      </c>
      <c r="L17" s="38">
        <f t="shared" si="1"/>
        <v>57.128571428571426</v>
      </c>
      <c r="M17" s="38">
        <f t="shared" si="2"/>
        <v>57.128571428571426</v>
      </c>
      <c r="N17" s="39">
        <v>7</v>
      </c>
      <c r="O17" s="64">
        <v>46206</v>
      </c>
      <c r="P17" s="64">
        <f t="shared" si="3"/>
        <v>46390</v>
      </c>
      <c r="Q17" s="37">
        <f t="shared" ref="Q17:Q40" ca="1" si="5">IF(O17&lt;&gt;"",IFERROR(DATEDIF(O17,TODAY(),"m")+1,""),"")</f>
        <v>4</v>
      </c>
    </row>
    <row r="18" spans="3:17" x14ac:dyDescent="0.25">
      <c r="C18" s="35"/>
      <c r="D18" s="76" t="s">
        <v>70</v>
      </c>
      <c r="E18" s="37" t="s">
        <v>1</v>
      </c>
      <c r="F18" s="37"/>
      <c r="G18" s="37"/>
      <c r="H18" s="37">
        <f t="shared" si="0"/>
        <v>1</v>
      </c>
      <c r="I18" s="38">
        <v>284</v>
      </c>
      <c r="J18" s="38" t="s">
        <v>52</v>
      </c>
      <c r="K18" s="38" t="s">
        <v>57</v>
      </c>
      <c r="L18" s="38">
        <f t="shared" si="1"/>
        <v>47.333333333333336</v>
      </c>
      <c r="M18" s="38">
        <f t="shared" si="2"/>
        <v>47.333333333333336</v>
      </c>
      <c r="N18" s="39">
        <v>6</v>
      </c>
      <c r="O18" s="64">
        <v>46237</v>
      </c>
      <c r="P18" s="64">
        <f t="shared" si="3"/>
        <v>46390</v>
      </c>
      <c r="Q18" s="37">
        <f t="shared" ca="1" si="5"/>
        <v>3</v>
      </c>
    </row>
    <row r="19" spans="3:17" x14ac:dyDescent="0.25">
      <c r="C19" s="35"/>
      <c r="D19" s="76" t="s">
        <v>71</v>
      </c>
      <c r="E19" s="37" t="s">
        <v>1</v>
      </c>
      <c r="F19" s="37"/>
      <c r="G19" s="37"/>
      <c r="H19" s="37">
        <f t="shared" si="0"/>
        <v>1</v>
      </c>
      <c r="I19" s="38">
        <v>500</v>
      </c>
      <c r="J19" s="38" t="s">
        <v>52</v>
      </c>
      <c r="K19" s="38" t="s">
        <v>59</v>
      </c>
      <c r="L19" s="38">
        <f t="shared" si="1"/>
        <v>100</v>
      </c>
      <c r="M19" s="38">
        <f t="shared" si="2"/>
        <v>100</v>
      </c>
      <c r="N19" s="39">
        <v>5</v>
      </c>
      <c r="O19" s="64">
        <v>46268</v>
      </c>
      <c r="P19" s="64">
        <f t="shared" si="3"/>
        <v>46390</v>
      </c>
      <c r="Q19" s="37">
        <f t="shared" ca="1" si="5"/>
        <v>2</v>
      </c>
    </row>
    <row r="20" spans="3:17" x14ac:dyDescent="0.25">
      <c r="C20" s="35"/>
      <c r="D20" s="76" t="s">
        <v>72</v>
      </c>
      <c r="E20" s="37" t="s">
        <v>1</v>
      </c>
      <c r="F20" s="37"/>
      <c r="G20" s="37"/>
      <c r="H20" s="37">
        <f t="shared" si="0"/>
        <v>1</v>
      </c>
      <c r="I20" s="38">
        <v>300</v>
      </c>
      <c r="J20" s="38" t="s">
        <v>52</v>
      </c>
      <c r="K20" s="38" t="s">
        <v>59</v>
      </c>
      <c r="L20" s="38">
        <f t="shared" si="1"/>
        <v>50</v>
      </c>
      <c r="M20" s="38">
        <f t="shared" si="2"/>
        <v>50</v>
      </c>
      <c r="N20" s="39">
        <v>6</v>
      </c>
      <c r="O20" s="64">
        <v>46237</v>
      </c>
      <c r="P20" s="64">
        <f t="shared" si="3"/>
        <v>46390</v>
      </c>
      <c r="Q20" s="37">
        <f t="shared" ca="1" si="5"/>
        <v>3</v>
      </c>
    </row>
    <row r="21" spans="3:17" x14ac:dyDescent="0.25">
      <c r="C21" s="35"/>
      <c r="D21" s="36" t="s">
        <v>73</v>
      </c>
      <c r="E21" s="37" t="s">
        <v>1</v>
      </c>
      <c r="F21" s="37" t="s">
        <v>2</v>
      </c>
      <c r="G21" s="37"/>
      <c r="H21" s="37">
        <f t="shared" si="0"/>
        <v>2</v>
      </c>
      <c r="I21" s="38">
        <v>1017.6</v>
      </c>
      <c r="J21" s="38" t="s">
        <v>55</v>
      </c>
      <c r="K21" s="37" t="s">
        <v>55</v>
      </c>
      <c r="L21" s="38">
        <f t="shared" si="1"/>
        <v>84.8</v>
      </c>
      <c r="M21" s="38">
        <f t="shared" si="2"/>
        <v>42.4</v>
      </c>
      <c r="N21" s="39">
        <v>12</v>
      </c>
      <c r="O21" s="64">
        <v>46084</v>
      </c>
      <c r="P21" s="64">
        <f t="shared" si="3"/>
        <v>46421</v>
      </c>
      <c r="Q21" s="37">
        <f t="shared" ca="1" si="5"/>
        <v>8</v>
      </c>
    </row>
    <row r="22" spans="3:17" x14ac:dyDescent="0.25">
      <c r="C22" s="35"/>
      <c r="D22" s="46" t="s">
        <v>74</v>
      </c>
      <c r="E22" s="37" t="s">
        <v>1</v>
      </c>
      <c r="F22" s="37"/>
      <c r="G22" s="37"/>
      <c r="H22" s="37">
        <f t="shared" si="0"/>
        <v>1</v>
      </c>
      <c r="I22" s="38">
        <v>1900</v>
      </c>
      <c r="J22" s="38" t="s">
        <v>52</v>
      </c>
      <c r="K22" s="38" t="s">
        <v>59</v>
      </c>
      <c r="L22" s="38">
        <f t="shared" si="1"/>
        <v>190</v>
      </c>
      <c r="M22" s="38">
        <f t="shared" si="2"/>
        <v>190</v>
      </c>
      <c r="N22" s="39">
        <v>10</v>
      </c>
      <c r="O22" s="64">
        <v>46145</v>
      </c>
      <c r="P22" s="64">
        <f t="shared" si="3"/>
        <v>46421</v>
      </c>
      <c r="Q22" s="37">
        <f t="shared" ca="1" si="5"/>
        <v>6</v>
      </c>
    </row>
    <row r="23" spans="3:17" x14ac:dyDescent="0.25">
      <c r="C23" s="35"/>
      <c r="D23" s="46" t="s">
        <v>75</v>
      </c>
      <c r="E23" s="37" t="s">
        <v>1</v>
      </c>
      <c r="F23" s="37"/>
      <c r="G23" s="37"/>
      <c r="H23" s="37">
        <f t="shared" si="0"/>
        <v>1</v>
      </c>
      <c r="I23" s="38">
        <v>474.33</v>
      </c>
      <c r="J23" s="38" t="s">
        <v>52</v>
      </c>
      <c r="K23" s="38" t="s">
        <v>59</v>
      </c>
      <c r="L23" s="38">
        <f t="shared" si="1"/>
        <v>52.703333333333333</v>
      </c>
      <c r="M23" s="38">
        <f t="shared" si="2"/>
        <v>52.703333333333333</v>
      </c>
      <c r="N23" s="39">
        <v>9</v>
      </c>
      <c r="O23" s="64">
        <v>46176</v>
      </c>
      <c r="P23" s="64">
        <f t="shared" si="3"/>
        <v>46421</v>
      </c>
      <c r="Q23" s="37">
        <f t="shared" ca="1" si="5"/>
        <v>5</v>
      </c>
    </row>
    <row r="24" spans="3:17" x14ac:dyDescent="0.25">
      <c r="C24" s="35"/>
      <c r="D24" s="46" t="s">
        <v>76</v>
      </c>
      <c r="E24" s="37" t="s">
        <v>1</v>
      </c>
      <c r="F24" s="37"/>
      <c r="G24" s="37"/>
      <c r="H24" s="37">
        <f t="shared" si="0"/>
        <v>1</v>
      </c>
      <c r="I24" s="38">
        <v>330</v>
      </c>
      <c r="J24" s="38" t="s">
        <v>52</v>
      </c>
      <c r="K24" s="38" t="s">
        <v>59</v>
      </c>
      <c r="L24" s="38">
        <f t="shared" si="1"/>
        <v>55</v>
      </c>
      <c r="M24" s="38">
        <f t="shared" si="2"/>
        <v>55</v>
      </c>
      <c r="N24" s="39">
        <v>6</v>
      </c>
      <c r="O24" s="64">
        <v>46268</v>
      </c>
      <c r="P24" s="64">
        <f t="shared" si="3"/>
        <v>46421</v>
      </c>
      <c r="Q24" s="37">
        <f t="shared" ca="1" si="5"/>
        <v>2</v>
      </c>
    </row>
    <row r="25" spans="3:17" x14ac:dyDescent="0.25">
      <c r="C25" s="35"/>
      <c r="D25" s="46" t="s">
        <v>77</v>
      </c>
      <c r="E25" s="37" t="s">
        <v>1</v>
      </c>
      <c r="F25" s="37" t="s">
        <v>2</v>
      </c>
      <c r="G25" s="37"/>
      <c r="H25" s="37">
        <f t="shared" si="0"/>
        <v>2</v>
      </c>
      <c r="I25" s="38">
        <v>1780</v>
      </c>
      <c r="J25" s="67" t="s">
        <v>52</v>
      </c>
      <c r="K25" s="38" t="s">
        <v>59</v>
      </c>
      <c r="L25" s="38">
        <f t="shared" si="1"/>
        <v>222.5</v>
      </c>
      <c r="M25" s="38">
        <f t="shared" si="2"/>
        <v>111.25</v>
      </c>
      <c r="N25" s="39">
        <v>8</v>
      </c>
      <c r="O25" s="64">
        <v>46237</v>
      </c>
      <c r="P25" s="64">
        <f t="shared" si="3"/>
        <v>46449</v>
      </c>
      <c r="Q25" s="37">
        <f t="shared" ca="1" si="5"/>
        <v>3</v>
      </c>
    </row>
    <row r="26" spans="3:17" x14ac:dyDescent="0.25">
      <c r="C26" s="35"/>
      <c r="D26" s="46" t="s">
        <v>78</v>
      </c>
      <c r="E26" s="37" t="s">
        <v>1</v>
      </c>
      <c r="F26" s="37"/>
      <c r="G26" s="37"/>
      <c r="H26" s="37">
        <f t="shared" si="0"/>
        <v>1</v>
      </c>
      <c r="I26" s="38">
        <v>286.39</v>
      </c>
      <c r="J26" s="38" t="s">
        <v>52</v>
      </c>
      <c r="K26" s="38" t="s">
        <v>59</v>
      </c>
      <c r="L26" s="38">
        <f t="shared" si="1"/>
        <v>28.638999999999999</v>
      </c>
      <c r="M26" s="38">
        <f t="shared" si="2"/>
        <v>28.638999999999999</v>
      </c>
      <c r="N26" s="39">
        <v>10</v>
      </c>
      <c r="O26" s="64">
        <v>46176</v>
      </c>
      <c r="P26" s="64">
        <f t="shared" si="3"/>
        <v>46449</v>
      </c>
      <c r="Q26" s="37">
        <f t="shared" ca="1" si="5"/>
        <v>5</v>
      </c>
    </row>
    <row r="27" spans="3:17" x14ac:dyDescent="0.25">
      <c r="C27" s="35"/>
      <c r="D27" s="46" t="s">
        <v>79</v>
      </c>
      <c r="E27" s="37" t="s">
        <v>1</v>
      </c>
      <c r="F27" s="37"/>
      <c r="G27" s="37"/>
      <c r="H27" s="37">
        <f t="shared" si="0"/>
        <v>1</v>
      </c>
      <c r="I27" s="38">
        <v>300</v>
      </c>
      <c r="J27" s="38" t="s">
        <v>52</v>
      </c>
      <c r="K27" s="38" t="s">
        <v>59</v>
      </c>
      <c r="L27" s="38">
        <f t="shared" si="1"/>
        <v>50</v>
      </c>
      <c r="M27" s="38">
        <f t="shared" si="2"/>
        <v>50</v>
      </c>
      <c r="N27" s="39">
        <v>6</v>
      </c>
      <c r="O27" s="64">
        <v>46298</v>
      </c>
      <c r="P27" s="64">
        <f t="shared" si="3"/>
        <v>46449</v>
      </c>
      <c r="Q27" s="37">
        <f t="shared" ca="1" si="5"/>
        <v>1</v>
      </c>
    </row>
    <row r="28" spans="3:17" x14ac:dyDescent="0.25">
      <c r="C28" s="35"/>
      <c r="D28" s="46" t="s">
        <v>80</v>
      </c>
      <c r="E28" s="37" t="s">
        <v>1</v>
      </c>
      <c r="F28" s="37" t="s">
        <v>2</v>
      </c>
      <c r="G28" s="37"/>
      <c r="H28" s="37">
        <f t="shared" si="0"/>
        <v>2</v>
      </c>
      <c r="I28" s="38">
        <v>663</v>
      </c>
      <c r="J28" s="38" t="s">
        <v>52</v>
      </c>
      <c r="K28" s="38" t="s">
        <v>59</v>
      </c>
      <c r="L28" s="38">
        <f t="shared" si="1"/>
        <v>110.5</v>
      </c>
      <c r="M28" s="38">
        <f t="shared" si="2"/>
        <v>55.25</v>
      </c>
      <c r="N28" s="39">
        <v>6</v>
      </c>
      <c r="O28" s="64">
        <v>46298</v>
      </c>
      <c r="P28" s="35">
        <f t="shared" si="3"/>
        <v>46449</v>
      </c>
      <c r="Q28" s="37">
        <f t="shared" ca="1" si="5"/>
        <v>1</v>
      </c>
    </row>
    <row r="29" spans="3:17" x14ac:dyDescent="0.25">
      <c r="C29" s="35"/>
      <c r="D29" s="46" t="s">
        <v>81</v>
      </c>
      <c r="E29" s="37" t="s">
        <v>1</v>
      </c>
      <c r="F29" s="37"/>
      <c r="G29" s="37"/>
      <c r="H29" s="37">
        <f t="shared" si="0"/>
        <v>1</v>
      </c>
      <c r="I29" s="38">
        <v>1181.1400000000001</v>
      </c>
      <c r="J29" s="38" t="s">
        <v>52</v>
      </c>
      <c r="K29" s="38" t="s">
        <v>59</v>
      </c>
      <c r="L29" s="38">
        <f t="shared" si="1"/>
        <v>118.114</v>
      </c>
      <c r="M29" s="38">
        <f t="shared" si="2"/>
        <v>118.114</v>
      </c>
      <c r="N29" s="39">
        <v>10</v>
      </c>
      <c r="O29" s="64">
        <v>46206</v>
      </c>
      <c r="P29" s="64">
        <f t="shared" si="3"/>
        <v>46480</v>
      </c>
      <c r="Q29" s="37">
        <f t="shared" ca="1" si="5"/>
        <v>4</v>
      </c>
    </row>
    <row r="30" spans="3:17" x14ac:dyDescent="0.25">
      <c r="C30" s="35"/>
      <c r="D30" s="46" t="s">
        <v>82</v>
      </c>
      <c r="E30" s="37" t="s">
        <v>1</v>
      </c>
      <c r="F30" s="37" t="s">
        <v>2</v>
      </c>
      <c r="G30" s="37"/>
      <c r="H30" s="37">
        <f t="shared" si="0"/>
        <v>2</v>
      </c>
      <c r="I30" s="38">
        <v>224.24</v>
      </c>
      <c r="J30" s="38" t="s">
        <v>55</v>
      </c>
      <c r="K30" s="37" t="s">
        <v>55</v>
      </c>
      <c r="L30" s="38">
        <f t="shared" si="1"/>
        <v>18.686666666666667</v>
      </c>
      <c r="M30" s="38">
        <f t="shared" si="2"/>
        <v>9.3433333333333337</v>
      </c>
      <c r="N30" s="39">
        <v>12</v>
      </c>
      <c r="O30" s="64">
        <v>46176</v>
      </c>
      <c r="P30" s="64">
        <f t="shared" si="3"/>
        <v>46510</v>
      </c>
      <c r="Q30" s="37">
        <f t="shared" ca="1" si="5"/>
        <v>5</v>
      </c>
    </row>
    <row r="31" spans="3:17" x14ac:dyDescent="0.25">
      <c r="C31" s="35" t="s">
        <v>83</v>
      </c>
      <c r="D31" s="46" t="s">
        <v>84</v>
      </c>
      <c r="E31" s="37" t="s">
        <v>1</v>
      </c>
      <c r="F31" s="37"/>
      <c r="G31" s="37"/>
      <c r="H31" s="37">
        <f t="shared" si="0"/>
        <v>1</v>
      </c>
      <c r="I31" s="38">
        <v>279</v>
      </c>
      <c r="J31" s="38" t="s">
        <v>52</v>
      </c>
      <c r="K31" s="38" t="s">
        <v>85</v>
      </c>
      <c r="L31" s="38">
        <f t="shared" si="1"/>
        <v>27.9</v>
      </c>
      <c r="M31" s="38">
        <f t="shared" si="2"/>
        <v>27.9</v>
      </c>
      <c r="N31" s="39">
        <v>10</v>
      </c>
      <c r="O31" s="64">
        <v>46237</v>
      </c>
      <c r="P31" s="64">
        <f t="shared" si="3"/>
        <v>46510</v>
      </c>
      <c r="Q31" s="37">
        <f t="shared" ca="1" si="5"/>
        <v>3</v>
      </c>
    </row>
    <row r="32" spans="3:17" x14ac:dyDescent="0.25">
      <c r="C32" s="35"/>
      <c r="D32" s="36" t="s">
        <v>86</v>
      </c>
      <c r="E32" s="37" t="s">
        <v>1</v>
      </c>
      <c r="F32" s="37" t="s">
        <v>2</v>
      </c>
      <c r="G32" s="37"/>
      <c r="H32" s="37">
        <f t="shared" si="0"/>
        <v>2</v>
      </c>
      <c r="I32" s="38">
        <v>22.45</v>
      </c>
      <c r="J32" s="38" t="s">
        <v>55</v>
      </c>
      <c r="K32" s="37" t="s">
        <v>87</v>
      </c>
      <c r="L32" s="38">
        <f t="shared" si="1"/>
        <v>22.45</v>
      </c>
      <c r="M32" s="38">
        <f t="shared" si="2"/>
        <v>11.225</v>
      </c>
      <c r="N32" s="39">
        <v>1</v>
      </c>
      <c r="O32" s="64"/>
      <c r="P32" s="64" t="str">
        <f t="shared" si="3"/>
        <v/>
      </c>
      <c r="Q32" s="37" t="str">
        <f t="shared" ca="1" si="5"/>
        <v/>
      </c>
    </row>
    <row r="33" spans="3:17" x14ac:dyDescent="0.25">
      <c r="C33" s="35"/>
      <c r="D33" s="46" t="s">
        <v>88</v>
      </c>
      <c r="E33" s="37" t="s">
        <v>1</v>
      </c>
      <c r="F33" s="37" t="s">
        <v>2</v>
      </c>
      <c r="G33" s="37"/>
      <c r="H33" s="37">
        <f t="shared" si="0"/>
        <v>2</v>
      </c>
      <c r="I33" s="38">
        <v>60</v>
      </c>
      <c r="J33" s="38" t="s">
        <v>55</v>
      </c>
      <c r="K33" s="37" t="s">
        <v>55</v>
      </c>
      <c r="L33" s="38">
        <f t="shared" si="1"/>
        <v>60</v>
      </c>
      <c r="M33" s="38">
        <f t="shared" si="2"/>
        <v>30</v>
      </c>
      <c r="N33" s="39">
        <v>1</v>
      </c>
      <c r="O33" s="64"/>
      <c r="P33" s="64" t="str">
        <f t="shared" si="3"/>
        <v/>
      </c>
      <c r="Q33" s="37" t="str">
        <f t="shared" ca="1" si="5"/>
        <v/>
      </c>
    </row>
    <row r="34" spans="3:17" x14ac:dyDescent="0.25">
      <c r="C34" s="35"/>
      <c r="D34" s="36" t="s">
        <v>89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395.54</v>
      </c>
      <c r="J34" s="38" t="s">
        <v>55</v>
      </c>
      <c r="K34" s="37" t="s">
        <v>90</v>
      </c>
      <c r="L34" s="38">
        <f t="shared" si="1"/>
        <v>395.54</v>
      </c>
      <c r="M34" s="38">
        <f t="shared" si="2"/>
        <v>197.77</v>
      </c>
      <c r="N34" s="39">
        <v>1</v>
      </c>
      <c r="O34" s="64"/>
      <c r="P34" s="64" t="str">
        <f t="shared" si="3"/>
        <v/>
      </c>
      <c r="Q34" s="37" t="str">
        <f t="shared" ca="1" si="5"/>
        <v/>
      </c>
    </row>
    <row r="35" spans="3:17" x14ac:dyDescent="0.25">
      <c r="C35" s="35"/>
      <c r="D35" s="36" t="s">
        <v>91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197</v>
      </c>
      <c r="J35" s="38" t="s">
        <v>55</v>
      </c>
      <c r="K35" s="37" t="s">
        <v>55</v>
      </c>
      <c r="L35" s="38">
        <f t="shared" si="1"/>
        <v>197</v>
      </c>
      <c r="M35" s="38">
        <f t="shared" si="2"/>
        <v>98.5</v>
      </c>
      <c r="N35" s="39">
        <v>1</v>
      </c>
      <c r="O35" s="64"/>
      <c r="P35" s="64" t="str">
        <f t="shared" si="3"/>
        <v/>
      </c>
      <c r="Q35" s="37" t="str">
        <f t="shared" ca="1" si="5"/>
        <v/>
      </c>
    </row>
    <row r="36" spans="3:17" x14ac:dyDescent="0.25">
      <c r="C36" s="35"/>
      <c r="D36" s="46" t="s">
        <v>92</v>
      </c>
      <c r="E36" s="37" t="s">
        <v>1</v>
      </c>
      <c r="F36" s="37" t="s">
        <v>2</v>
      </c>
      <c r="G36" s="37"/>
      <c r="H36" s="37">
        <f t="shared" si="0"/>
        <v>2</v>
      </c>
      <c r="I36" s="38">
        <v>225</v>
      </c>
      <c r="J36" s="38" t="s">
        <v>55</v>
      </c>
      <c r="K36" s="37" t="s">
        <v>55</v>
      </c>
      <c r="L36" s="38">
        <f t="shared" si="1"/>
        <v>225</v>
      </c>
      <c r="M36" s="38">
        <f t="shared" si="2"/>
        <v>112.5</v>
      </c>
      <c r="N36" s="39">
        <v>1</v>
      </c>
      <c r="O36" s="64"/>
      <c r="P36" s="64" t="str">
        <f t="shared" si="3"/>
        <v/>
      </c>
      <c r="Q36" s="37" t="str">
        <f t="shared" ca="1" si="5"/>
        <v/>
      </c>
    </row>
    <row r="37" spans="3:17" x14ac:dyDescent="0.25">
      <c r="C37" s="35"/>
      <c r="D37" s="36" t="s">
        <v>93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166.15</v>
      </c>
      <c r="J37" s="38" t="s">
        <v>55</v>
      </c>
      <c r="K37" s="37" t="s">
        <v>55</v>
      </c>
      <c r="L37" s="38">
        <f t="shared" si="1"/>
        <v>166.15</v>
      </c>
      <c r="M37" s="38">
        <f t="shared" si="2"/>
        <v>83.075000000000003</v>
      </c>
      <c r="N37" s="39">
        <v>1</v>
      </c>
      <c r="O37" s="64"/>
      <c r="P37" s="64" t="str">
        <f t="shared" si="3"/>
        <v/>
      </c>
      <c r="Q37" s="37" t="str">
        <f t="shared" ca="1" si="5"/>
        <v/>
      </c>
    </row>
    <row r="38" spans="3:17" x14ac:dyDescent="0.25">
      <c r="C38" s="35"/>
      <c r="D38" s="36" t="s">
        <v>94</v>
      </c>
      <c r="E38" s="37" t="s">
        <v>1</v>
      </c>
      <c r="F38" s="37" t="s">
        <v>2</v>
      </c>
      <c r="G38" s="37"/>
      <c r="H38" s="37">
        <f t="shared" si="0"/>
        <v>2</v>
      </c>
      <c r="I38" s="38">
        <v>19.899999999999999</v>
      </c>
      <c r="J38" s="38" t="s">
        <v>55</v>
      </c>
      <c r="K38" s="37" t="s">
        <v>87</v>
      </c>
      <c r="L38" s="38">
        <f t="shared" si="1"/>
        <v>19.899999999999999</v>
      </c>
      <c r="M38" s="38">
        <f t="shared" si="2"/>
        <v>9.9499999999999993</v>
      </c>
      <c r="N38" s="39">
        <v>1</v>
      </c>
      <c r="O38" s="64"/>
      <c r="P38" s="64" t="str">
        <f t="shared" si="3"/>
        <v/>
      </c>
      <c r="Q38" s="37" t="str">
        <f t="shared" ca="1" si="5"/>
        <v/>
      </c>
    </row>
    <row r="39" spans="3:17" x14ac:dyDescent="0.25">
      <c r="C39" s="35"/>
      <c r="D39" s="46" t="s">
        <v>95</v>
      </c>
      <c r="E39" s="37" t="s">
        <v>1</v>
      </c>
      <c r="F39" s="37"/>
      <c r="G39" s="37"/>
      <c r="H39" s="37">
        <f t="shared" si="0"/>
        <v>1</v>
      </c>
      <c r="I39" s="38">
        <v>284.05</v>
      </c>
      <c r="J39" s="38" t="s">
        <v>55</v>
      </c>
      <c r="K39" s="37" t="s">
        <v>90</v>
      </c>
      <c r="L39" s="38">
        <f t="shared" si="1"/>
        <v>284.05</v>
      </c>
      <c r="M39" s="38">
        <f t="shared" si="2"/>
        <v>284.05</v>
      </c>
      <c r="N39" s="39">
        <v>1</v>
      </c>
      <c r="O39" s="64"/>
      <c r="P39" s="64" t="str">
        <f t="shared" si="3"/>
        <v/>
      </c>
      <c r="Q39" s="37" t="str">
        <f t="shared" ca="1" si="5"/>
        <v/>
      </c>
    </row>
    <row r="40" spans="3:17" x14ac:dyDescent="0.25">
      <c r="C40" s="35"/>
      <c r="D40" s="46" t="s">
        <v>96</v>
      </c>
      <c r="E40" s="37" t="s">
        <v>1</v>
      </c>
      <c r="F40" s="37"/>
      <c r="G40" s="37"/>
      <c r="H40" s="37">
        <f t="shared" si="0"/>
        <v>1</v>
      </c>
      <c r="I40" s="38">
        <v>110</v>
      </c>
      <c r="J40" s="38" t="s">
        <v>55</v>
      </c>
      <c r="K40" s="38" t="s">
        <v>97</v>
      </c>
      <c r="L40" s="38">
        <f t="shared" si="1"/>
        <v>110</v>
      </c>
      <c r="M40" s="38">
        <f t="shared" si="2"/>
        <v>110</v>
      </c>
      <c r="N40" s="39">
        <v>1</v>
      </c>
      <c r="O40" s="64"/>
      <c r="P40" s="64" t="str">
        <f t="shared" si="3"/>
        <v/>
      </c>
      <c r="Q40" s="37" t="str">
        <f t="shared" ca="1" si="5"/>
        <v/>
      </c>
    </row>
    <row r="41" spans="3:17" x14ac:dyDescent="0.25">
      <c r="C41" s="35"/>
      <c r="D41" s="46" t="s">
        <v>98</v>
      </c>
      <c r="E41" s="37" t="s">
        <v>1</v>
      </c>
      <c r="F41" s="37"/>
      <c r="G41" s="37"/>
      <c r="H41" s="37">
        <f t="shared" si="0"/>
        <v>1</v>
      </c>
      <c r="I41" s="38">
        <v>118.4</v>
      </c>
      <c r="J41" s="38" t="s">
        <v>55</v>
      </c>
      <c r="K41" s="38" t="s">
        <v>97</v>
      </c>
      <c r="L41" s="38">
        <f t="shared" si="1"/>
        <v>118.4</v>
      </c>
      <c r="M41" s="38">
        <f t="shared" si="2"/>
        <v>118.4</v>
      </c>
      <c r="N41" s="39">
        <v>1</v>
      </c>
      <c r="O41" s="64"/>
      <c r="P41" s="64" t="str">
        <f t="shared" si="3"/>
        <v/>
      </c>
      <c r="Q41" s="37"/>
    </row>
    <row r="42" spans="3:17" x14ac:dyDescent="0.25">
      <c r="C42" s="35"/>
      <c r="D42" s="36" t="s">
        <v>99</v>
      </c>
      <c r="E42" s="37" t="s">
        <v>1</v>
      </c>
      <c r="F42" s="37"/>
      <c r="G42" s="37"/>
      <c r="H42" s="37">
        <f t="shared" si="0"/>
        <v>1</v>
      </c>
      <c r="I42" s="38">
        <v>26.9</v>
      </c>
      <c r="J42" s="38" t="s">
        <v>55</v>
      </c>
      <c r="K42" s="37" t="s">
        <v>87</v>
      </c>
      <c r="L42" s="38">
        <f t="shared" si="1"/>
        <v>26.9</v>
      </c>
      <c r="M42" s="38">
        <f t="shared" si="2"/>
        <v>26.9</v>
      </c>
      <c r="N42" s="39">
        <v>1</v>
      </c>
      <c r="O42" s="64"/>
      <c r="P42" s="64" t="str">
        <f t="shared" si="3"/>
        <v/>
      </c>
      <c r="Q42" s="37" t="str">
        <f ca="1">IF(O42&lt;&gt;"",IFERROR(DATEDIF(O42,TODAY(),"m")+1,""),"")</f>
        <v/>
      </c>
    </row>
    <row r="43" spans="3:17" x14ac:dyDescent="0.25">
      <c r="C43" s="35"/>
      <c r="D43" s="46" t="s">
        <v>100</v>
      </c>
      <c r="E43" s="37" t="s">
        <v>1</v>
      </c>
      <c r="F43" s="37"/>
      <c r="G43" s="37"/>
      <c r="H43" s="37">
        <f t="shared" si="0"/>
        <v>1</v>
      </c>
      <c r="I43" s="38">
        <v>70</v>
      </c>
      <c r="J43" s="38" t="s">
        <v>55</v>
      </c>
      <c r="K43" s="38" t="s">
        <v>55</v>
      </c>
      <c r="L43" s="38">
        <f t="shared" si="1"/>
        <v>70</v>
      </c>
      <c r="M43" s="38">
        <f t="shared" si="2"/>
        <v>70</v>
      </c>
      <c r="N43" s="39">
        <v>1</v>
      </c>
      <c r="O43" s="64"/>
      <c r="P43" s="64" t="str">
        <f t="shared" si="3"/>
        <v/>
      </c>
      <c r="Q43" s="37"/>
    </row>
    <row r="44" spans="3:17" x14ac:dyDescent="0.25">
      <c r="C44" s="35"/>
      <c r="D44" s="66" t="s">
        <v>101</v>
      </c>
      <c r="E44" s="37" t="s">
        <v>1</v>
      </c>
      <c r="F44" s="37"/>
      <c r="G44" s="37"/>
      <c r="H44" s="37">
        <f t="shared" si="0"/>
        <v>1</v>
      </c>
      <c r="I44" s="38">
        <v>426</v>
      </c>
      <c r="J44" s="38" t="s">
        <v>55</v>
      </c>
      <c r="K44" s="38" t="s">
        <v>102</v>
      </c>
      <c r="L44" s="38">
        <f t="shared" si="1"/>
        <v>426</v>
      </c>
      <c r="M44" s="38">
        <f t="shared" si="2"/>
        <v>426</v>
      </c>
      <c r="N44" s="39">
        <v>1</v>
      </c>
      <c r="O44" s="64"/>
      <c r="P44" s="64" t="str">
        <f t="shared" si="3"/>
        <v/>
      </c>
      <c r="Q44" s="37" t="str">
        <f ca="1">IF(O44&lt;&gt;"",IFERROR(DATEDIF(O44,TODAY(),"m")+1,""),"")</f>
        <v/>
      </c>
    </row>
    <row r="45" spans="3:17" x14ac:dyDescent="0.25">
      <c r="C45" s="35"/>
      <c r="D45" s="46" t="s">
        <v>103</v>
      </c>
      <c r="E45" s="37" t="s">
        <v>1</v>
      </c>
      <c r="F45" s="37"/>
      <c r="G45" s="37"/>
      <c r="H45" s="37">
        <f t="shared" si="0"/>
        <v>1</v>
      </c>
      <c r="I45" s="38">
        <v>60</v>
      </c>
      <c r="J45" s="38" t="s">
        <v>55</v>
      </c>
      <c r="K45" s="38" t="s">
        <v>53</v>
      </c>
      <c r="L45" s="38">
        <f t="shared" si="1"/>
        <v>60</v>
      </c>
      <c r="M45" s="38">
        <f t="shared" si="2"/>
        <v>60</v>
      </c>
      <c r="N45" s="39">
        <v>1</v>
      </c>
      <c r="O45" s="64">
        <v>46298</v>
      </c>
      <c r="P45" s="64" t="str">
        <f t="shared" si="3"/>
        <v/>
      </c>
      <c r="Q45" s="37">
        <f ca="1">IF(O45&lt;&gt;"",IFERROR(DATEDIF(O45,TODAY(),"m")+1,""),"")</f>
        <v>1</v>
      </c>
    </row>
    <row r="46" spans="3:17" x14ac:dyDescent="0.25">
      <c r="C46" s="35"/>
      <c r="D46" s="46" t="s">
        <v>104</v>
      </c>
      <c r="E46" s="37" t="s">
        <v>1</v>
      </c>
      <c r="F46" s="37" t="s">
        <v>2</v>
      </c>
      <c r="G46" s="37"/>
      <c r="H46" s="37">
        <f t="shared" si="0"/>
        <v>2</v>
      </c>
      <c r="I46" s="38">
        <v>10</v>
      </c>
      <c r="J46" s="38" t="s">
        <v>55</v>
      </c>
      <c r="K46" s="38" t="s">
        <v>53</v>
      </c>
      <c r="L46" s="38">
        <f t="shared" si="1"/>
        <v>10</v>
      </c>
      <c r="M46" s="38">
        <f t="shared" si="2"/>
        <v>5</v>
      </c>
      <c r="N46" s="39">
        <v>1</v>
      </c>
      <c r="O46" s="64">
        <v>46298</v>
      </c>
      <c r="P46" s="35" t="str">
        <f t="shared" si="3"/>
        <v/>
      </c>
      <c r="Q46" s="37">
        <f ca="1">IF(O46&lt;&gt;"",IFERROR(DATEDIF(O46,TODAY(),"m")+1,""),"")</f>
        <v>1</v>
      </c>
    </row>
    <row r="47" spans="3:17" x14ac:dyDescent="0.25">
      <c r="C47" s="35"/>
      <c r="D47" s="46" t="s">
        <v>105</v>
      </c>
      <c r="E47" s="37" t="s">
        <v>1</v>
      </c>
      <c r="F47" s="37"/>
      <c r="G47" s="37"/>
      <c r="H47" s="37">
        <f t="shared" si="0"/>
        <v>1</v>
      </c>
      <c r="I47" s="38">
        <v>90</v>
      </c>
      <c r="J47" s="38" t="s">
        <v>106</v>
      </c>
      <c r="K47" s="38" t="s">
        <v>107</v>
      </c>
      <c r="L47" s="38">
        <f t="shared" si="1"/>
        <v>90</v>
      </c>
      <c r="M47" s="38">
        <f t="shared" si="2"/>
        <v>90</v>
      </c>
      <c r="N47" s="39">
        <v>1</v>
      </c>
      <c r="O47" s="64">
        <v>46329</v>
      </c>
      <c r="P47" s="35" t="str">
        <f t="shared" si="3"/>
        <v/>
      </c>
      <c r="Q47" s="37" t="str">
        <f ca="1">IF(O47&lt;&gt;"",IFERROR(DATEDIF(O47,TODAY(),"m")+1,""),"")</f>
        <v/>
      </c>
    </row>
    <row r="48" spans="3:17" x14ac:dyDescent="0.25">
      <c r="C48" s="35"/>
      <c r="D48" s="46" t="s">
        <v>108</v>
      </c>
      <c r="E48" s="37" t="s">
        <v>1</v>
      </c>
      <c r="F48" s="37" t="s">
        <v>2</v>
      </c>
      <c r="G48" s="37"/>
      <c r="H48" s="37">
        <f t="shared" si="0"/>
        <v>2</v>
      </c>
      <c r="I48" s="38">
        <v>172.8</v>
      </c>
      <c r="J48" s="38" t="s">
        <v>106</v>
      </c>
      <c r="K48" s="38" t="s">
        <v>109</v>
      </c>
      <c r="L48" s="38">
        <f t="shared" si="1"/>
        <v>172.8</v>
      </c>
      <c r="M48" s="38">
        <f t="shared" si="2"/>
        <v>86.4</v>
      </c>
      <c r="N48" s="39">
        <v>1</v>
      </c>
      <c r="O48" s="35"/>
      <c r="P48" s="35" t="str">
        <f t="shared" si="3"/>
        <v/>
      </c>
      <c r="Q48" s="37" t="str">
        <f ca="1">IF(O48&lt;&gt;"",IFERROR(DATEDIF(O48,TODAY(),"m")+1,""),"")</f>
        <v/>
      </c>
    </row>
    <row r="49" spans="3:17" x14ac:dyDescent="0.25">
      <c r="C49" s="35"/>
      <c r="D49" s="46" t="s">
        <v>228</v>
      </c>
      <c r="E49" s="37" t="s">
        <v>1</v>
      </c>
      <c r="F49" s="37"/>
      <c r="G49" s="37"/>
      <c r="H49" s="37">
        <f t="shared" ref="H49:H110" si="6">COUNTA(E49:G49)</f>
        <v>1</v>
      </c>
      <c r="I49" s="38">
        <v>98</v>
      </c>
      <c r="J49" s="38" t="s">
        <v>106</v>
      </c>
      <c r="K49" s="38" t="s">
        <v>229</v>
      </c>
      <c r="L49" s="38">
        <f t="shared" ref="L49:L110" si="7">I49/N49</f>
        <v>98</v>
      </c>
      <c r="M49" s="38">
        <f t="shared" ref="M49:M110" si="8">IFERROR(L49/H49,"")</f>
        <v>98</v>
      </c>
      <c r="N49" s="39">
        <v>1</v>
      </c>
      <c r="O49" s="35"/>
      <c r="P49" s="35" t="str">
        <f t="shared" ref="P49:P110" si="9">IF(N49&lt;&gt;1,EDATE(O49,N49-1),"")</f>
        <v/>
      </c>
      <c r="Q49" s="37" t="str">
        <f t="shared" ref="Q49:Q110" ca="1" si="10">IF(O49&lt;&gt;"",IFERROR(DATEDIF(O49,TODAY(),"m")+1,""),"")</f>
        <v/>
      </c>
    </row>
    <row r="50" spans="3:17" x14ac:dyDescent="0.25">
      <c r="C50" s="35"/>
      <c r="D50" s="46" t="s">
        <v>231</v>
      </c>
      <c r="E50" s="37" t="s">
        <v>1</v>
      </c>
      <c r="F50" s="37"/>
      <c r="G50" s="37"/>
      <c r="H50" s="37">
        <f t="shared" si="6"/>
        <v>1</v>
      </c>
      <c r="I50" s="38">
        <v>-45</v>
      </c>
      <c r="J50" s="38" t="s">
        <v>230</v>
      </c>
      <c r="K50" s="38" t="s">
        <v>230</v>
      </c>
      <c r="L50" s="38">
        <f t="shared" si="7"/>
        <v>-45</v>
      </c>
      <c r="M50" s="38">
        <f t="shared" si="8"/>
        <v>-45</v>
      </c>
      <c r="N50" s="39">
        <v>1</v>
      </c>
      <c r="O50" s="35"/>
      <c r="P50" s="35" t="str">
        <f t="shared" si="9"/>
        <v/>
      </c>
      <c r="Q50" s="37" t="str">
        <f t="shared" ca="1" si="10"/>
        <v/>
      </c>
    </row>
    <row r="51" spans="3:17" x14ac:dyDescent="0.25">
      <c r="C51" s="81"/>
      <c r="D51" s="66" t="s">
        <v>146</v>
      </c>
      <c r="E51" s="82"/>
      <c r="F51" s="82"/>
      <c r="G51" s="82"/>
      <c r="H51" s="82">
        <f t="shared" si="6"/>
        <v>0</v>
      </c>
      <c r="I51" s="83">
        <v>2120</v>
      </c>
      <c r="J51" s="83"/>
      <c r="K51" s="83"/>
      <c r="L51" s="83">
        <f t="shared" si="7"/>
        <v>2120</v>
      </c>
      <c r="M51" s="83" t="str">
        <f t="shared" si="8"/>
        <v/>
      </c>
      <c r="N51" s="84">
        <v>1</v>
      </c>
      <c r="O51" s="81"/>
      <c r="P51" s="81" t="str">
        <f t="shared" si="9"/>
        <v/>
      </c>
      <c r="Q51" s="82" t="str">
        <f t="shared" ca="1" si="10"/>
        <v/>
      </c>
    </row>
    <row r="52" spans="3:17" x14ac:dyDescent="0.25">
      <c r="C52" s="35"/>
      <c r="D52" s="46"/>
      <c r="E52" s="37"/>
      <c r="F52" s="37"/>
      <c r="G52" s="37"/>
      <c r="H52" s="37">
        <f t="shared" si="6"/>
        <v>0</v>
      </c>
      <c r="I52" s="38"/>
      <c r="J52" s="38"/>
      <c r="K52" s="38"/>
      <c r="L52" s="38">
        <f t="shared" si="7"/>
        <v>0</v>
      </c>
      <c r="M52" s="38" t="str">
        <f t="shared" si="8"/>
        <v/>
      </c>
      <c r="N52" s="39">
        <v>1</v>
      </c>
      <c r="O52" s="35"/>
      <c r="P52" s="35" t="str">
        <f t="shared" si="9"/>
        <v/>
      </c>
      <c r="Q52" s="37" t="str">
        <f t="shared" ca="1" si="10"/>
        <v/>
      </c>
    </row>
    <row r="53" spans="3:17" x14ac:dyDescent="0.25">
      <c r="C53" s="35"/>
      <c r="D53" s="46"/>
      <c r="E53" s="37"/>
      <c r="F53" s="37"/>
      <c r="G53" s="37"/>
      <c r="H53" s="37">
        <f t="shared" si="6"/>
        <v>0</v>
      </c>
      <c r="I53" s="38"/>
      <c r="J53" s="38"/>
      <c r="K53" s="38"/>
      <c r="L53" s="38">
        <f t="shared" si="7"/>
        <v>0</v>
      </c>
      <c r="M53" s="38" t="str">
        <f t="shared" si="8"/>
        <v/>
      </c>
      <c r="N53" s="39">
        <v>1</v>
      </c>
      <c r="O53" s="35"/>
      <c r="P53" s="35" t="str">
        <f t="shared" si="9"/>
        <v/>
      </c>
      <c r="Q53" s="37" t="str">
        <f t="shared" ca="1" si="10"/>
        <v/>
      </c>
    </row>
    <row r="54" spans="3:17" x14ac:dyDescent="0.25">
      <c r="C54" s="35"/>
      <c r="D54" s="46"/>
      <c r="E54" s="37"/>
      <c r="F54" s="37"/>
      <c r="G54" s="37"/>
      <c r="H54" s="37">
        <f t="shared" si="6"/>
        <v>0</v>
      </c>
      <c r="I54" s="38"/>
      <c r="J54" s="38"/>
      <c r="K54" s="38"/>
      <c r="L54" s="38">
        <f t="shared" si="7"/>
        <v>0</v>
      </c>
      <c r="M54" s="38" t="str">
        <f t="shared" si="8"/>
        <v/>
      </c>
      <c r="N54" s="39">
        <v>1</v>
      </c>
      <c r="O54" s="35"/>
      <c r="P54" s="35" t="str">
        <f t="shared" si="9"/>
        <v/>
      </c>
      <c r="Q54" s="37" t="str">
        <f t="shared" ca="1" si="10"/>
        <v/>
      </c>
    </row>
    <row r="55" spans="3:17" x14ac:dyDescent="0.25">
      <c r="C55" s="35"/>
      <c r="D55" s="46"/>
      <c r="E55" s="37"/>
      <c r="F55" s="37"/>
      <c r="G55" s="37"/>
      <c r="H55" s="37">
        <f t="shared" si="6"/>
        <v>0</v>
      </c>
      <c r="I55" s="38"/>
      <c r="J55" s="38"/>
      <c r="K55" s="38"/>
      <c r="L55" s="38">
        <f t="shared" si="7"/>
        <v>0</v>
      </c>
      <c r="M55" s="38" t="str">
        <f t="shared" si="8"/>
        <v/>
      </c>
      <c r="N55" s="39">
        <v>1</v>
      </c>
      <c r="O55" s="35"/>
      <c r="P55" s="35" t="str">
        <f t="shared" si="9"/>
        <v/>
      </c>
      <c r="Q55" s="37" t="str">
        <f t="shared" ca="1" si="10"/>
        <v/>
      </c>
    </row>
    <row r="56" spans="3:17" x14ac:dyDescent="0.25">
      <c r="C56" s="35"/>
      <c r="D56" s="46"/>
      <c r="E56" s="37"/>
      <c r="F56" s="37"/>
      <c r="G56" s="37"/>
      <c r="H56" s="37">
        <f t="shared" si="6"/>
        <v>0</v>
      </c>
      <c r="I56" s="38"/>
      <c r="J56" s="38"/>
      <c r="K56" s="38"/>
      <c r="L56" s="38">
        <f t="shared" si="7"/>
        <v>0</v>
      </c>
      <c r="M56" s="38" t="str">
        <f t="shared" si="8"/>
        <v/>
      </c>
      <c r="N56" s="39">
        <v>1</v>
      </c>
      <c r="O56" s="35"/>
      <c r="P56" s="35" t="str">
        <f t="shared" si="9"/>
        <v/>
      </c>
      <c r="Q56" s="37" t="str">
        <f t="shared" ca="1" si="10"/>
        <v/>
      </c>
    </row>
    <row r="57" spans="3:17" x14ac:dyDescent="0.25">
      <c r="C57" s="35"/>
      <c r="D57" s="46"/>
      <c r="E57" s="37"/>
      <c r="F57" s="37"/>
      <c r="G57" s="37"/>
      <c r="H57" s="37">
        <f t="shared" si="6"/>
        <v>0</v>
      </c>
      <c r="I57" s="38"/>
      <c r="J57" s="38"/>
      <c r="K57" s="38"/>
      <c r="L57" s="38">
        <f t="shared" si="7"/>
        <v>0</v>
      </c>
      <c r="M57" s="38" t="str">
        <f t="shared" si="8"/>
        <v/>
      </c>
      <c r="N57" s="39">
        <v>1</v>
      </c>
      <c r="O57" s="35"/>
      <c r="P57" s="35" t="str">
        <f t="shared" si="9"/>
        <v/>
      </c>
      <c r="Q57" s="37" t="str">
        <f t="shared" ca="1" si="10"/>
        <v/>
      </c>
    </row>
    <row r="58" spans="3:17" x14ac:dyDescent="0.25">
      <c r="C58" s="35"/>
      <c r="D58" s="46"/>
      <c r="E58" s="37"/>
      <c r="F58" s="37"/>
      <c r="G58" s="37"/>
      <c r="H58" s="37">
        <f t="shared" si="6"/>
        <v>0</v>
      </c>
      <c r="I58" s="38"/>
      <c r="J58" s="38"/>
      <c r="K58" s="38"/>
      <c r="L58" s="38">
        <f t="shared" si="7"/>
        <v>0</v>
      </c>
      <c r="M58" s="38" t="str">
        <f t="shared" si="8"/>
        <v/>
      </c>
      <c r="N58" s="39">
        <v>1</v>
      </c>
      <c r="O58" s="35"/>
      <c r="P58" s="35" t="str">
        <f t="shared" si="9"/>
        <v/>
      </c>
      <c r="Q58" s="37" t="str">
        <f t="shared" ca="1" si="10"/>
        <v/>
      </c>
    </row>
    <row r="59" spans="3:17" x14ac:dyDescent="0.25">
      <c r="C59" s="35"/>
      <c r="D59" s="46"/>
      <c r="E59" s="37"/>
      <c r="F59" s="37"/>
      <c r="G59" s="37"/>
      <c r="H59" s="37">
        <f t="shared" si="6"/>
        <v>0</v>
      </c>
      <c r="I59" s="38"/>
      <c r="J59" s="38"/>
      <c r="K59" s="38"/>
      <c r="L59" s="38">
        <f t="shared" si="7"/>
        <v>0</v>
      </c>
      <c r="M59" s="38" t="str">
        <f t="shared" si="8"/>
        <v/>
      </c>
      <c r="N59" s="39">
        <v>1</v>
      </c>
      <c r="O59" s="35"/>
      <c r="P59" s="35" t="str">
        <f t="shared" si="9"/>
        <v/>
      </c>
      <c r="Q59" s="37" t="str">
        <f t="shared" ca="1" si="10"/>
        <v/>
      </c>
    </row>
    <row r="60" spans="3:17" x14ac:dyDescent="0.25">
      <c r="C60" s="35"/>
      <c r="D60" s="46"/>
      <c r="E60" s="37"/>
      <c r="F60" s="37"/>
      <c r="G60" s="37"/>
      <c r="H60" s="37">
        <f t="shared" si="6"/>
        <v>0</v>
      </c>
      <c r="I60" s="38"/>
      <c r="J60" s="38"/>
      <c r="K60" s="38"/>
      <c r="L60" s="38">
        <f t="shared" si="7"/>
        <v>0</v>
      </c>
      <c r="M60" s="38" t="str">
        <f t="shared" si="8"/>
        <v/>
      </c>
      <c r="N60" s="39">
        <v>1</v>
      </c>
      <c r="O60" s="35"/>
      <c r="P60" s="35" t="str">
        <f t="shared" si="9"/>
        <v/>
      </c>
      <c r="Q60" s="37" t="str">
        <f t="shared" ca="1" si="10"/>
        <v/>
      </c>
    </row>
    <row r="61" spans="3:17" x14ac:dyDescent="0.25">
      <c r="C61" s="35"/>
      <c r="D61" s="46"/>
      <c r="E61" s="37"/>
      <c r="F61" s="37"/>
      <c r="G61" s="37"/>
      <c r="H61" s="37">
        <f t="shared" si="6"/>
        <v>0</v>
      </c>
      <c r="I61" s="38"/>
      <c r="J61" s="38"/>
      <c r="K61" s="38"/>
      <c r="L61" s="38">
        <f t="shared" si="7"/>
        <v>0</v>
      </c>
      <c r="M61" s="38" t="str">
        <f t="shared" si="8"/>
        <v/>
      </c>
      <c r="N61" s="39">
        <v>1</v>
      </c>
      <c r="O61" s="35"/>
      <c r="P61" s="35" t="str">
        <f t="shared" si="9"/>
        <v/>
      </c>
      <c r="Q61" s="37" t="str">
        <f t="shared" ca="1" si="10"/>
        <v/>
      </c>
    </row>
    <row r="62" spans="3:17" x14ac:dyDescent="0.25">
      <c r="C62" s="35"/>
      <c r="D62" s="46"/>
      <c r="E62" s="37"/>
      <c r="F62" s="37"/>
      <c r="G62" s="37"/>
      <c r="H62" s="37">
        <f t="shared" si="6"/>
        <v>0</v>
      </c>
      <c r="I62" s="38"/>
      <c r="J62" s="38"/>
      <c r="K62" s="38"/>
      <c r="L62" s="38">
        <f t="shared" si="7"/>
        <v>0</v>
      </c>
      <c r="M62" s="38" t="str">
        <f t="shared" si="8"/>
        <v/>
      </c>
      <c r="N62" s="39">
        <v>1</v>
      </c>
      <c r="O62" s="35"/>
      <c r="P62" s="35" t="str">
        <f t="shared" si="9"/>
        <v/>
      </c>
      <c r="Q62" s="37" t="str">
        <f t="shared" ca="1" si="10"/>
        <v/>
      </c>
    </row>
    <row r="63" spans="3:17" x14ac:dyDescent="0.25">
      <c r="C63" s="35"/>
      <c r="D63" s="46"/>
      <c r="E63" s="37"/>
      <c r="F63" s="37"/>
      <c r="G63" s="37"/>
      <c r="H63" s="37">
        <f t="shared" si="6"/>
        <v>0</v>
      </c>
      <c r="I63" s="38"/>
      <c r="J63" s="38"/>
      <c r="K63" s="38"/>
      <c r="L63" s="38">
        <f t="shared" si="7"/>
        <v>0</v>
      </c>
      <c r="M63" s="38" t="str">
        <f t="shared" si="8"/>
        <v/>
      </c>
      <c r="N63" s="39">
        <v>1</v>
      </c>
      <c r="O63" s="35"/>
      <c r="P63" s="35" t="str">
        <f t="shared" si="9"/>
        <v/>
      </c>
      <c r="Q63" s="37" t="str">
        <f t="shared" ca="1" si="10"/>
        <v/>
      </c>
    </row>
    <row r="64" spans="3:17" x14ac:dyDescent="0.25">
      <c r="C64" s="35"/>
      <c r="D64" s="46"/>
      <c r="E64" s="37"/>
      <c r="F64" s="37"/>
      <c r="G64" s="37"/>
      <c r="H64" s="37">
        <f t="shared" si="6"/>
        <v>0</v>
      </c>
      <c r="I64" s="38"/>
      <c r="J64" s="38"/>
      <c r="K64" s="38"/>
      <c r="L64" s="38">
        <f t="shared" si="7"/>
        <v>0</v>
      </c>
      <c r="M64" s="38" t="str">
        <f t="shared" si="8"/>
        <v/>
      </c>
      <c r="N64" s="39">
        <v>1</v>
      </c>
      <c r="O64" s="35"/>
      <c r="P64" s="35" t="str">
        <f t="shared" si="9"/>
        <v/>
      </c>
      <c r="Q64" s="37" t="str">
        <f t="shared" ca="1" si="10"/>
        <v/>
      </c>
    </row>
    <row r="65" spans="3:17" x14ac:dyDescent="0.25">
      <c r="C65" s="35"/>
      <c r="D65" s="46"/>
      <c r="E65" s="37"/>
      <c r="F65" s="37"/>
      <c r="G65" s="37"/>
      <c r="H65" s="37">
        <f t="shared" si="6"/>
        <v>0</v>
      </c>
      <c r="I65" s="38"/>
      <c r="J65" s="38"/>
      <c r="K65" s="38"/>
      <c r="L65" s="38">
        <f t="shared" si="7"/>
        <v>0</v>
      </c>
      <c r="M65" s="38" t="str">
        <f t="shared" si="8"/>
        <v/>
      </c>
      <c r="N65" s="39">
        <v>1</v>
      </c>
      <c r="O65" s="35"/>
      <c r="P65" s="35" t="str">
        <f t="shared" si="9"/>
        <v/>
      </c>
      <c r="Q65" s="37" t="str">
        <f t="shared" ca="1" si="10"/>
        <v/>
      </c>
    </row>
    <row r="66" spans="3:17" x14ac:dyDescent="0.25">
      <c r="C66" s="35"/>
      <c r="D66" s="46"/>
      <c r="E66" s="37"/>
      <c r="F66" s="37"/>
      <c r="G66" s="37"/>
      <c r="H66" s="37">
        <f t="shared" si="6"/>
        <v>0</v>
      </c>
      <c r="I66" s="38"/>
      <c r="J66" s="38"/>
      <c r="K66" s="38"/>
      <c r="L66" s="38">
        <f t="shared" si="7"/>
        <v>0</v>
      </c>
      <c r="M66" s="38" t="str">
        <f t="shared" si="8"/>
        <v/>
      </c>
      <c r="N66" s="39">
        <v>1</v>
      </c>
      <c r="O66" s="35"/>
      <c r="P66" s="35" t="str">
        <f t="shared" si="9"/>
        <v/>
      </c>
      <c r="Q66" s="37" t="str">
        <f t="shared" ca="1" si="10"/>
        <v/>
      </c>
    </row>
    <row r="67" spans="3:17" x14ac:dyDescent="0.25">
      <c r="C67" s="35"/>
      <c r="D67" s="46"/>
      <c r="E67" s="37"/>
      <c r="F67" s="37"/>
      <c r="G67" s="37"/>
      <c r="H67" s="37">
        <f t="shared" si="6"/>
        <v>0</v>
      </c>
      <c r="I67" s="38"/>
      <c r="J67" s="38"/>
      <c r="K67" s="38"/>
      <c r="L67" s="38">
        <f t="shared" si="7"/>
        <v>0</v>
      </c>
      <c r="M67" s="38" t="str">
        <f t="shared" si="8"/>
        <v/>
      </c>
      <c r="N67" s="39">
        <v>1</v>
      </c>
      <c r="O67" s="35"/>
      <c r="P67" s="35" t="str">
        <f t="shared" si="9"/>
        <v/>
      </c>
      <c r="Q67" s="37" t="str">
        <f t="shared" ca="1" si="10"/>
        <v/>
      </c>
    </row>
    <row r="68" spans="3:17" x14ac:dyDescent="0.25">
      <c r="C68" s="35"/>
      <c r="D68" s="46"/>
      <c r="E68" s="37"/>
      <c r="F68" s="37"/>
      <c r="G68" s="37"/>
      <c r="H68" s="37">
        <f t="shared" si="6"/>
        <v>0</v>
      </c>
      <c r="I68" s="38"/>
      <c r="J68" s="38"/>
      <c r="K68" s="38"/>
      <c r="L68" s="38">
        <f t="shared" si="7"/>
        <v>0</v>
      </c>
      <c r="M68" s="38" t="str">
        <f t="shared" si="8"/>
        <v/>
      </c>
      <c r="N68" s="39">
        <v>1</v>
      </c>
      <c r="O68" s="35"/>
      <c r="P68" s="35" t="str">
        <f t="shared" si="9"/>
        <v/>
      </c>
      <c r="Q68" s="37" t="str">
        <f t="shared" ca="1" si="10"/>
        <v/>
      </c>
    </row>
    <row r="69" spans="3:17" x14ac:dyDescent="0.25">
      <c r="C69" s="35"/>
      <c r="D69" s="46"/>
      <c r="E69" s="37"/>
      <c r="F69" s="37"/>
      <c r="G69" s="37"/>
      <c r="H69" s="37">
        <f t="shared" si="6"/>
        <v>0</v>
      </c>
      <c r="I69" s="38"/>
      <c r="J69" s="38"/>
      <c r="K69" s="38"/>
      <c r="L69" s="38">
        <f t="shared" si="7"/>
        <v>0</v>
      </c>
      <c r="M69" s="38" t="str">
        <f t="shared" si="8"/>
        <v/>
      </c>
      <c r="N69" s="39">
        <v>1</v>
      </c>
      <c r="O69" s="35"/>
      <c r="P69" s="35" t="str">
        <f t="shared" si="9"/>
        <v/>
      </c>
      <c r="Q69" s="37" t="str">
        <f t="shared" ca="1" si="10"/>
        <v/>
      </c>
    </row>
    <row r="70" spans="3:17" x14ac:dyDescent="0.25">
      <c r="C70" s="35"/>
      <c r="D70" s="46"/>
      <c r="E70" s="37"/>
      <c r="F70" s="37"/>
      <c r="G70" s="37"/>
      <c r="H70" s="37">
        <f t="shared" si="6"/>
        <v>0</v>
      </c>
      <c r="I70" s="38"/>
      <c r="J70" s="38"/>
      <c r="K70" s="38"/>
      <c r="L70" s="38">
        <f t="shared" si="7"/>
        <v>0</v>
      </c>
      <c r="M70" s="38" t="str">
        <f t="shared" si="8"/>
        <v/>
      </c>
      <c r="N70" s="39">
        <v>1</v>
      </c>
      <c r="O70" s="35"/>
      <c r="P70" s="35" t="str">
        <f t="shared" si="9"/>
        <v/>
      </c>
      <c r="Q70" s="37" t="str">
        <f t="shared" ca="1" si="10"/>
        <v/>
      </c>
    </row>
    <row r="71" spans="3:17" x14ac:dyDescent="0.25">
      <c r="C71" s="35"/>
      <c r="D71" s="46"/>
      <c r="E71" s="37"/>
      <c r="F71" s="37"/>
      <c r="G71" s="37"/>
      <c r="H71" s="37">
        <f t="shared" si="6"/>
        <v>0</v>
      </c>
      <c r="I71" s="38"/>
      <c r="J71" s="38"/>
      <c r="K71" s="38"/>
      <c r="L71" s="38">
        <f t="shared" si="7"/>
        <v>0</v>
      </c>
      <c r="M71" s="38" t="str">
        <f t="shared" si="8"/>
        <v/>
      </c>
      <c r="N71" s="39">
        <v>1</v>
      </c>
      <c r="O71" s="35"/>
      <c r="P71" s="35" t="str">
        <f t="shared" si="9"/>
        <v/>
      </c>
      <c r="Q71" s="37" t="str">
        <f t="shared" ca="1" si="10"/>
        <v/>
      </c>
    </row>
    <row r="72" spans="3:17" x14ac:dyDescent="0.25">
      <c r="C72" s="35"/>
      <c r="D72" s="46"/>
      <c r="E72" s="37"/>
      <c r="F72" s="37"/>
      <c r="G72" s="37"/>
      <c r="H72" s="37">
        <f t="shared" si="6"/>
        <v>0</v>
      </c>
      <c r="I72" s="38"/>
      <c r="J72" s="38"/>
      <c r="K72" s="38"/>
      <c r="L72" s="38">
        <f t="shared" si="7"/>
        <v>0</v>
      </c>
      <c r="M72" s="38" t="str">
        <f t="shared" si="8"/>
        <v/>
      </c>
      <c r="N72" s="39">
        <v>1</v>
      </c>
      <c r="O72" s="35"/>
      <c r="P72" s="35" t="str">
        <f t="shared" si="9"/>
        <v/>
      </c>
      <c r="Q72" s="37" t="str">
        <f t="shared" ca="1" si="10"/>
        <v/>
      </c>
    </row>
    <row r="73" spans="3:17" x14ac:dyDescent="0.25">
      <c r="C73" s="35"/>
      <c r="D73" s="46"/>
      <c r="E73" s="37"/>
      <c r="F73" s="37"/>
      <c r="G73" s="37"/>
      <c r="H73" s="37">
        <f t="shared" si="6"/>
        <v>0</v>
      </c>
      <c r="I73" s="38"/>
      <c r="J73" s="38"/>
      <c r="K73" s="38"/>
      <c r="L73" s="38">
        <f t="shared" si="7"/>
        <v>0</v>
      </c>
      <c r="M73" s="38" t="str">
        <f t="shared" si="8"/>
        <v/>
      </c>
      <c r="N73" s="39">
        <v>1</v>
      </c>
      <c r="O73" s="35"/>
      <c r="P73" s="35" t="str">
        <f t="shared" si="9"/>
        <v/>
      </c>
      <c r="Q73" s="37" t="str">
        <f t="shared" ca="1" si="10"/>
        <v/>
      </c>
    </row>
    <row r="74" spans="3:17" x14ac:dyDescent="0.25">
      <c r="C74" s="35"/>
      <c r="D74" s="46"/>
      <c r="E74" s="37"/>
      <c r="F74" s="37"/>
      <c r="G74" s="37"/>
      <c r="H74" s="37">
        <f t="shared" si="6"/>
        <v>0</v>
      </c>
      <c r="I74" s="38"/>
      <c r="J74" s="38"/>
      <c r="K74" s="38"/>
      <c r="L74" s="38">
        <f t="shared" si="7"/>
        <v>0</v>
      </c>
      <c r="M74" s="38" t="str">
        <f t="shared" si="8"/>
        <v/>
      </c>
      <c r="N74" s="39">
        <v>1</v>
      </c>
      <c r="O74" s="35"/>
      <c r="P74" s="35" t="str">
        <f t="shared" si="9"/>
        <v/>
      </c>
      <c r="Q74" s="37" t="str">
        <f t="shared" ca="1" si="10"/>
        <v/>
      </c>
    </row>
    <row r="75" spans="3:17" x14ac:dyDescent="0.25">
      <c r="C75" s="35"/>
      <c r="D75" s="46"/>
      <c r="E75" s="37"/>
      <c r="F75" s="37"/>
      <c r="G75" s="37"/>
      <c r="H75" s="37">
        <f t="shared" si="6"/>
        <v>0</v>
      </c>
      <c r="I75" s="38"/>
      <c r="J75" s="38"/>
      <c r="K75" s="38"/>
      <c r="L75" s="38">
        <f t="shared" si="7"/>
        <v>0</v>
      </c>
      <c r="M75" s="38" t="str">
        <f t="shared" si="8"/>
        <v/>
      </c>
      <c r="N75" s="39">
        <v>1</v>
      </c>
      <c r="O75" s="35"/>
      <c r="P75" s="35" t="str">
        <f t="shared" si="9"/>
        <v/>
      </c>
      <c r="Q75" s="37" t="str">
        <f t="shared" ca="1" si="10"/>
        <v/>
      </c>
    </row>
    <row r="76" spans="3:17" x14ac:dyDescent="0.25">
      <c r="C76" s="35"/>
      <c r="D76" s="46"/>
      <c r="E76" s="37"/>
      <c r="F76" s="37"/>
      <c r="G76" s="37"/>
      <c r="H76" s="37">
        <f t="shared" si="6"/>
        <v>0</v>
      </c>
      <c r="I76" s="38"/>
      <c r="J76" s="38"/>
      <c r="K76" s="38"/>
      <c r="L76" s="38">
        <f t="shared" si="7"/>
        <v>0</v>
      </c>
      <c r="M76" s="38" t="str">
        <f t="shared" si="8"/>
        <v/>
      </c>
      <c r="N76" s="39">
        <v>1</v>
      </c>
      <c r="O76" s="35"/>
      <c r="P76" s="35" t="str">
        <f t="shared" si="9"/>
        <v/>
      </c>
      <c r="Q76" s="37" t="str">
        <f t="shared" ca="1" si="10"/>
        <v/>
      </c>
    </row>
    <row r="77" spans="3:17" x14ac:dyDescent="0.25">
      <c r="C77" s="35"/>
      <c r="D77" s="46"/>
      <c r="E77" s="37"/>
      <c r="F77" s="37"/>
      <c r="G77" s="37"/>
      <c r="H77" s="37">
        <f t="shared" si="6"/>
        <v>0</v>
      </c>
      <c r="I77" s="38"/>
      <c r="J77" s="38"/>
      <c r="K77" s="38"/>
      <c r="L77" s="38">
        <f t="shared" si="7"/>
        <v>0</v>
      </c>
      <c r="M77" s="38" t="str">
        <f t="shared" si="8"/>
        <v/>
      </c>
      <c r="N77" s="39">
        <v>1</v>
      </c>
      <c r="O77" s="35"/>
      <c r="P77" s="35" t="str">
        <f t="shared" si="9"/>
        <v/>
      </c>
      <c r="Q77" s="37" t="str">
        <f t="shared" ca="1" si="10"/>
        <v/>
      </c>
    </row>
    <row r="78" spans="3:17" x14ac:dyDescent="0.25">
      <c r="C78" s="35"/>
      <c r="D78" s="46"/>
      <c r="E78" s="37"/>
      <c r="F78" s="37"/>
      <c r="G78" s="37"/>
      <c r="H78" s="37">
        <f t="shared" si="6"/>
        <v>0</v>
      </c>
      <c r="I78" s="38"/>
      <c r="J78" s="38"/>
      <c r="K78" s="38"/>
      <c r="L78" s="38">
        <f t="shared" si="7"/>
        <v>0</v>
      </c>
      <c r="M78" s="38" t="str">
        <f t="shared" si="8"/>
        <v/>
      </c>
      <c r="N78" s="39">
        <v>1</v>
      </c>
      <c r="O78" s="35"/>
      <c r="P78" s="35" t="str">
        <f t="shared" si="9"/>
        <v/>
      </c>
      <c r="Q78" s="37" t="str">
        <f t="shared" ca="1" si="10"/>
        <v/>
      </c>
    </row>
    <row r="79" spans="3:17" x14ac:dyDescent="0.25">
      <c r="C79" s="35"/>
      <c r="D79" s="46"/>
      <c r="E79" s="37"/>
      <c r="F79" s="37"/>
      <c r="G79" s="37"/>
      <c r="H79" s="37">
        <f t="shared" si="6"/>
        <v>0</v>
      </c>
      <c r="I79" s="38"/>
      <c r="J79" s="38"/>
      <c r="K79" s="38"/>
      <c r="L79" s="38">
        <f t="shared" si="7"/>
        <v>0</v>
      </c>
      <c r="M79" s="38" t="str">
        <f t="shared" si="8"/>
        <v/>
      </c>
      <c r="N79" s="39">
        <v>1</v>
      </c>
      <c r="O79" s="35"/>
      <c r="P79" s="35" t="str">
        <f t="shared" si="9"/>
        <v/>
      </c>
      <c r="Q79" s="37" t="str">
        <f t="shared" ca="1" si="10"/>
        <v/>
      </c>
    </row>
    <row r="80" spans="3:17" x14ac:dyDescent="0.25">
      <c r="C80" s="35"/>
      <c r="D80" s="46"/>
      <c r="E80" s="37"/>
      <c r="F80" s="37"/>
      <c r="G80" s="37"/>
      <c r="H80" s="37">
        <f t="shared" si="6"/>
        <v>0</v>
      </c>
      <c r="I80" s="38"/>
      <c r="J80" s="38"/>
      <c r="K80" s="38"/>
      <c r="L80" s="38">
        <f t="shared" si="7"/>
        <v>0</v>
      </c>
      <c r="M80" s="38" t="str">
        <f t="shared" si="8"/>
        <v/>
      </c>
      <c r="N80" s="39">
        <v>1</v>
      </c>
      <c r="O80" s="35"/>
      <c r="P80" s="35" t="str">
        <f t="shared" si="9"/>
        <v/>
      </c>
      <c r="Q80" s="37" t="str">
        <f t="shared" ca="1" si="10"/>
        <v/>
      </c>
    </row>
    <row r="81" spans="3:17" x14ac:dyDescent="0.25">
      <c r="C81" s="35"/>
      <c r="D81" s="46"/>
      <c r="E81" s="37"/>
      <c r="F81" s="37"/>
      <c r="G81" s="37"/>
      <c r="H81" s="37">
        <f t="shared" si="6"/>
        <v>0</v>
      </c>
      <c r="I81" s="38"/>
      <c r="J81" s="38"/>
      <c r="K81" s="38"/>
      <c r="L81" s="38">
        <f t="shared" si="7"/>
        <v>0</v>
      </c>
      <c r="M81" s="38" t="str">
        <f t="shared" si="8"/>
        <v/>
      </c>
      <c r="N81" s="39">
        <v>1</v>
      </c>
      <c r="O81" s="35"/>
      <c r="P81" s="35" t="str">
        <f t="shared" si="9"/>
        <v/>
      </c>
      <c r="Q81" s="37" t="str">
        <f t="shared" ca="1" si="10"/>
        <v/>
      </c>
    </row>
    <row r="82" spans="3:17" x14ac:dyDescent="0.25">
      <c r="C82" s="35"/>
      <c r="D82" s="46"/>
      <c r="E82" s="37"/>
      <c r="F82" s="37"/>
      <c r="G82" s="37"/>
      <c r="H82" s="37">
        <f t="shared" si="6"/>
        <v>0</v>
      </c>
      <c r="I82" s="38"/>
      <c r="J82" s="38"/>
      <c r="K82" s="38"/>
      <c r="L82" s="38">
        <f t="shared" si="7"/>
        <v>0</v>
      </c>
      <c r="M82" s="38" t="str">
        <f t="shared" si="8"/>
        <v/>
      </c>
      <c r="N82" s="39">
        <v>1</v>
      </c>
      <c r="O82" s="35"/>
      <c r="P82" s="35" t="str">
        <f t="shared" si="9"/>
        <v/>
      </c>
      <c r="Q82" s="37" t="str">
        <f t="shared" ca="1" si="10"/>
        <v/>
      </c>
    </row>
    <row r="83" spans="3:17" x14ac:dyDescent="0.25">
      <c r="C83" s="35"/>
      <c r="D83" s="46"/>
      <c r="E83" s="37"/>
      <c r="F83" s="37"/>
      <c r="G83" s="37"/>
      <c r="H83" s="37">
        <f t="shared" si="6"/>
        <v>0</v>
      </c>
      <c r="I83" s="38"/>
      <c r="J83" s="38"/>
      <c r="K83" s="38"/>
      <c r="L83" s="38">
        <f t="shared" si="7"/>
        <v>0</v>
      </c>
      <c r="M83" s="38" t="str">
        <f t="shared" si="8"/>
        <v/>
      </c>
      <c r="N83" s="39">
        <v>1</v>
      </c>
      <c r="O83" s="35"/>
      <c r="P83" s="35" t="str">
        <f t="shared" si="9"/>
        <v/>
      </c>
      <c r="Q83" s="37" t="str">
        <f t="shared" ca="1" si="10"/>
        <v/>
      </c>
    </row>
    <row r="84" spans="3:17" x14ac:dyDescent="0.25">
      <c r="C84" s="35"/>
      <c r="D84" s="46"/>
      <c r="E84" s="37"/>
      <c r="F84" s="37"/>
      <c r="G84" s="37"/>
      <c r="H84" s="37">
        <f t="shared" si="6"/>
        <v>0</v>
      </c>
      <c r="I84" s="38"/>
      <c r="J84" s="38"/>
      <c r="K84" s="38"/>
      <c r="L84" s="38">
        <f t="shared" si="7"/>
        <v>0</v>
      </c>
      <c r="M84" s="38" t="str">
        <f t="shared" si="8"/>
        <v/>
      </c>
      <c r="N84" s="39">
        <v>1</v>
      </c>
      <c r="O84" s="35"/>
      <c r="P84" s="35" t="str">
        <f t="shared" si="9"/>
        <v/>
      </c>
      <c r="Q84" s="37" t="str">
        <f t="shared" ca="1" si="10"/>
        <v/>
      </c>
    </row>
    <row r="85" spans="3:17" x14ac:dyDescent="0.25">
      <c r="C85" s="35"/>
      <c r="D85" s="46"/>
      <c r="E85" s="37"/>
      <c r="F85" s="37"/>
      <c r="G85" s="37"/>
      <c r="H85" s="37">
        <f t="shared" si="6"/>
        <v>0</v>
      </c>
      <c r="I85" s="38"/>
      <c r="J85" s="38"/>
      <c r="K85" s="38"/>
      <c r="L85" s="38">
        <f t="shared" si="7"/>
        <v>0</v>
      </c>
      <c r="M85" s="38" t="str">
        <f t="shared" si="8"/>
        <v/>
      </c>
      <c r="N85" s="39">
        <v>1</v>
      </c>
      <c r="O85" s="35"/>
      <c r="P85" s="35" t="str">
        <f t="shared" si="9"/>
        <v/>
      </c>
      <c r="Q85" s="37" t="str">
        <f t="shared" ca="1" si="10"/>
        <v/>
      </c>
    </row>
    <row r="86" spans="3:17" x14ac:dyDescent="0.25">
      <c r="C86" s="35"/>
      <c r="D86" s="46"/>
      <c r="E86" s="37"/>
      <c r="F86" s="37"/>
      <c r="G86" s="37"/>
      <c r="H86" s="37">
        <f t="shared" si="6"/>
        <v>0</v>
      </c>
      <c r="I86" s="38"/>
      <c r="J86" s="38"/>
      <c r="K86" s="38"/>
      <c r="L86" s="38">
        <f t="shared" si="7"/>
        <v>0</v>
      </c>
      <c r="M86" s="38" t="str">
        <f t="shared" si="8"/>
        <v/>
      </c>
      <c r="N86" s="39">
        <v>1</v>
      </c>
      <c r="O86" s="35"/>
      <c r="P86" s="35" t="str">
        <f t="shared" si="9"/>
        <v/>
      </c>
      <c r="Q86" s="37" t="str">
        <f t="shared" ca="1" si="10"/>
        <v/>
      </c>
    </row>
    <row r="87" spans="3:17" x14ac:dyDescent="0.25">
      <c r="C87" s="35"/>
      <c r="D87" s="46"/>
      <c r="E87" s="37"/>
      <c r="F87" s="37"/>
      <c r="G87" s="37"/>
      <c r="H87" s="37">
        <f t="shared" si="6"/>
        <v>0</v>
      </c>
      <c r="I87" s="38"/>
      <c r="J87" s="38"/>
      <c r="K87" s="38"/>
      <c r="L87" s="38">
        <f t="shared" si="7"/>
        <v>0</v>
      </c>
      <c r="M87" s="38" t="str">
        <f t="shared" si="8"/>
        <v/>
      </c>
      <c r="N87" s="39">
        <v>1</v>
      </c>
      <c r="O87" s="35"/>
      <c r="P87" s="35" t="str">
        <f t="shared" si="9"/>
        <v/>
      </c>
      <c r="Q87" s="37" t="str">
        <f t="shared" ca="1" si="10"/>
        <v/>
      </c>
    </row>
    <row r="88" spans="3:17" x14ac:dyDescent="0.25">
      <c r="C88" s="35"/>
      <c r="D88" s="46"/>
      <c r="E88" s="37"/>
      <c r="F88" s="37"/>
      <c r="G88" s="37"/>
      <c r="H88" s="37">
        <f t="shared" si="6"/>
        <v>0</v>
      </c>
      <c r="I88" s="38"/>
      <c r="J88" s="38"/>
      <c r="K88" s="38"/>
      <c r="L88" s="38">
        <f t="shared" si="7"/>
        <v>0</v>
      </c>
      <c r="M88" s="38" t="str">
        <f t="shared" si="8"/>
        <v/>
      </c>
      <c r="N88" s="39">
        <v>1</v>
      </c>
      <c r="O88" s="35"/>
      <c r="P88" s="35" t="str">
        <f t="shared" si="9"/>
        <v/>
      </c>
      <c r="Q88" s="37" t="str">
        <f t="shared" ca="1" si="10"/>
        <v/>
      </c>
    </row>
    <row r="89" spans="3:17" x14ac:dyDescent="0.25">
      <c r="C89" s="35"/>
      <c r="D89" s="46"/>
      <c r="E89" s="37"/>
      <c r="F89" s="37"/>
      <c r="G89" s="37"/>
      <c r="H89" s="37">
        <f t="shared" si="6"/>
        <v>0</v>
      </c>
      <c r="I89" s="38"/>
      <c r="J89" s="38"/>
      <c r="K89" s="38"/>
      <c r="L89" s="38">
        <f t="shared" si="7"/>
        <v>0</v>
      </c>
      <c r="M89" s="38" t="str">
        <f t="shared" si="8"/>
        <v/>
      </c>
      <c r="N89" s="39">
        <v>1</v>
      </c>
      <c r="O89" s="35"/>
      <c r="P89" s="35" t="str">
        <f t="shared" si="9"/>
        <v/>
      </c>
      <c r="Q89" s="37" t="str">
        <f t="shared" ca="1" si="10"/>
        <v/>
      </c>
    </row>
    <row r="90" spans="3:17" x14ac:dyDescent="0.25">
      <c r="C90" s="35"/>
      <c r="D90" s="46"/>
      <c r="E90" s="37"/>
      <c r="F90" s="37"/>
      <c r="G90" s="37"/>
      <c r="H90" s="37">
        <f t="shared" si="6"/>
        <v>0</v>
      </c>
      <c r="I90" s="38"/>
      <c r="J90" s="38"/>
      <c r="K90" s="38"/>
      <c r="L90" s="38">
        <f t="shared" si="7"/>
        <v>0</v>
      </c>
      <c r="M90" s="38" t="str">
        <f t="shared" si="8"/>
        <v/>
      </c>
      <c r="N90" s="39">
        <v>1</v>
      </c>
      <c r="O90" s="35"/>
      <c r="P90" s="35" t="str">
        <f t="shared" si="9"/>
        <v/>
      </c>
      <c r="Q90" s="37" t="str">
        <f t="shared" ca="1" si="10"/>
        <v/>
      </c>
    </row>
    <row r="91" spans="3:17" x14ac:dyDescent="0.25">
      <c r="C91" s="35"/>
      <c r="D91" s="46"/>
      <c r="E91" s="37"/>
      <c r="F91" s="37"/>
      <c r="G91" s="37"/>
      <c r="H91" s="37">
        <f t="shared" si="6"/>
        <v>0</v>
      </c>
      <c r="I91" s="38"/>
      <c r="J91" s="38"/>
      <c r="K91" s="38"/>
      <c r="L91" s="38">
        <f t="shared" si="7"/>
        <v>0</v>
      </c>
      <c r="M91" s="38" t="str">
        <f t="shared" si="8"/>
        <v/>
      </c>
      <c r="N91" s="39">
        <v>1</v>
      </c>
      <c r="O91" s="35"/>
      <c r="P91" s="35" t="str">
        <f t="shared" si="9"/>
        <v/>
      </c>
      <c r="Q91" s="37" t="str">
        <f t="shared" ca="1" si="10"/>
        <v/>
      </c>
    </row>
    <row r="92" spans="3:17" x14ac:dyDescent="0.25">
      <c r="C92" s="35"/>
      <c r="D92" s="46"/>
      <c r="E92" s="37"/>
      <c r="F92" s="37"/>
      <c r="G92" s="37"/>
      <c r="H92" s="37">
        <f t="shared" si="6"/>
        <v>0</v>
      </c>
      <c r="I92" s="38"/>
      <c r="J92" s="38"/>
      <c r="K92" s="38"/>
      <c r="L92" s="38">
        <f t="shared" si="7"/>
        <v>0</v>
      </c>
      <c r="M92" s="38" t="str">
        <f t="shared" si="8"/>
        <v/>
      </c>
      <c r="N92" s="39">
        <v>1</v>
      </c>
      <c r="O92" s="35"/>
      <c r="P92" s="35" t="str">
        <f t="shared" si="9"/>
        <v/>
      </c>
      <c r="Q92" s="37" t="str">
        <f t="shared" ca="1" si="10"/>
        <v/>
      </c>
    </row>
    <row r="93" spans="3:17" x14ac:dyDescent="0.25">
      <c r="C93" s="35"/>
      <c r="D93" s="46"/>
      <c r="E93" s="37"/>
      <c r="F93" s="37"/>
      <c r="G93" s="37"/>
      <c r="H93" s="37">
        <f t="shared" si="6"/>
        <v>0</v>
      </c>
      <c r="I93" s="38"/>
      <c r="J93" s="38"/>
      <c r="K93" s="38"/>
      <c r="L93" s="38">
        <f t="shared" si="7"/>
        <v>0</v>
      </c>
      <c r="M93" s="38" t="str">
        <f t="shared" si="8"/>
        <v/>
      </c>
      <c r="N93" s="39">
        <v>1</v>
      </c>
      <c r="O93" s="35"/>
      <c r="P93" s="35" t="str">
        <f t="shared" si="9"/>
        <v/>
      </c>
      <c r="Q93" s="37" t="str">
        <f t="shared" ca="1" si="10"/>
        <v/>
      </c>
    </row>
    <row r="94" spans="3:17" x14ac:dyDescent="0.25">
      <c r="C94" s="35"/>
      <c r="D94" s="46"/>
      <c r="E94" s="37"/>
      <c r="F94" s="37"/>
      <c r="G94" s="37"/>
      <c r="H94" s="37">
        <f t="shared" si="6"/>
        <v>0</v>
      </c>
      <c r="I94" s="38"/>
      <c r="J94" s="38"/>
      <c r="K94" s="38"/>
      <c r="L94" s="38">
        <f t="shared" si="7"/>
        <v>0</v>
      </c>
      <c r="M94" s="38" t="str">
        <f t="shared" si="8"/>
        <v/>
      </c>
      <c r="N94" s="39">
        <v>1</v>
      </c>
      <c r="O94" s="35"/>
      <c r="P94" s="35" t="str">
        <f t="shared" si="9"/>
        <v/>
      </c>
      <c r="Q94" s="37" t="str">
        <f t="shared" ca="1" si="10"/>
        <v/>
      </c>
    </row>
    <row r="95" spans="3:17" x14ac:dyDescent="0.25">
      <c r="C95" s="35"/>
      <c r="D95" s="46"/>
      <c r="E95" s="37"/>
      <c r="F95" s="37"/>
      <c r="G95" s="37"/>
      <c r="H95" s="37">
        <f t="shared" si="6"/>
        <v>0</v>
      </c>
      <c r="I95" s="38"/>
      <c r="J95" s="38"/>
      <c r="K95" s="38"/>
      <c r="L95" s="38">
        <f t="shared" si="7"/>
        <v>0</v>
      </c>
      <c r="M95" s="38" t="str">
        <f t="shared" si="8"/>
        <v/>
      </c>
      <c r="N95" s="39">
        <v>1</v>
      </c>
      <c r="O95" s="35"/>
      <c r="P95" s="35" t="str">
        <f t="shared" si="9"/>
        <v/>
      </c>
      <c r="Q95" s="37" t="str">
        <f t="shared" ca="1" si="10"/>
        <v/>
      </c>
    </row>
    <row r="96" spans="3:17" x14ac:dyDescent="0.25">
      <c r="C96" s="35"/>
      <c r="D96" s="46"/>
      <c r="E96" s="37"/>
      <c r="F96" s="37"/>
      <c r="G96" s="37"/>
      <c r="H96" s="37">
        <f t="shared" si="6"/>
        <v>0</v>
      </c>
      <c r="I96" s="38"/>
      <c r="J96" s="38"/>
      <c r="K96" s="38"/>
      <c r="L96" s="38">
        <f t="shared" si="7"/>
        <v>0</v>
      </c>
      <c r="M96" s="38" t="str">
        <f t="shared" si="8"/>
        <v/>
      </c>
      <c r="N96" s="39">
        <v>1</v>
      </c>
      <c r="O96" s="35"/>
      <c r="P96" s="35" t="str">
        <f t="shared" si="9"/>
        <v/>
      </c>
      <c r="Q96" s="37" t="str">
        <f t="shared" ca="1" si="10"/>
        <v/>
      </c>
    </row>
    <row r="97" spans="3:17" x14ac:dyDescent="0.25">
      <c r="C97" s="35"/>
      <c r="D97" s="46"/>
      <c r="E97" s="37"/>
      <c r="F97" s="37"/>
      <c r="G97" s="37"/>
      <c r="H97" s="37">
        <f t="shared" si="6"/>
        <v>0</v>
      </c>
      <c r="I97" s="38"/>
      <c r="J97" s="38"/>
      <c r="K97" s="38"/>
      <c r="L97" s="38">
        <f t="shared" si="7"/>
        <v>0</v>
      </c>
      <c r="M97" s="38" t="str">
        <f t="shared" si="8"/>
        <v/>
      </c>
      <c r="N97" s="39">
        <v>1</v>
      </c>
      <c r="O97" s="35"/>
      <c r="P97" s="35" t="str">
        <f t="shared" si="9"/>
        <v/>
      </c>
      <c r="Q97" s="37" t="str">
        <f t="shared" ca="1" si="10"/>
        <v/>
      </c>
    </row>
    <row r="98" spans="3:17" x14ac:dyDescent="0.25">
      <c r="C98" s="35"/>
      <c r="D98" s="46"/>
      <c r="E98" s="37"/>
      <c r="F98" s="37"/>
      <c r="G98" s="37"/>
      <c r="H98" s="37">
        <f t="shared" si="6"/>
        <v>0</v>
      </c>
      <c r="I98" s="38"/>
      <c r="J98" s="38"/>
      <c r="K98" s="38"/>
      <c r="L98" s="38">
        <f t="shared" si="7"/>
        <v>0</v>
      </c>
      <c r="M98" s="38" t="str">
        <f t="shared" si="8"/>
        <v/>
      </c>
      <c r="N98" s="39">
        <v>1</v>
      </c>
      <c r="O98" s="35"/>
      <c r="P98" s="35" t="str">
        <f t="shared" si="9"/>
        <v/>
      </c>
      <c r="Q98" s="37" t="str">
        <f t="shared" ca="1" si="10"/>
        <v/>
      </c>
    </row>
    <row r="99" spans="3:17" x14ac:dyDescent="0.25">
      <c r="C99" s="35"/>
      <c r="D99" s="46"/>
      <c r="E99" s="37"/>
      <c r="F99" s="37"/>
      <c r="G99" s="37"/>
      <c r="H99" s="37">
        <f t="shared" si="6"/>
        <v>0</v>
      </c>
      <c r="I99" s="38"/>
      <c r="J99" s="38"/>
      <c r="K99" s="38"/>
      <c r="L99" s="38">
        <f t="shared" si="7"/>
        <v>0</v>
      </c>
      <c r="M99" s="38" t="str">
        <f t="shared" si="8"/>
        <v/>
      </c>
      <c r="N99" s="39">
        <v>1</v>
      </c>
      <c r="O99" s="35"/>
      <c r="P99" s="35" t="str">
        <f t="shared" si="9"/>
        <v/>
      </c>
      <c r="Q99" s="37" t="str">
        <f t="shared" ca="1" si="10"/>
        <v/>
      </c>
    </row>
    <row r="100" spans="3:17" x14ac:dyDescent="0.25">
      <c r="C100" s="35"/>
      <c r="D100" s="46"/>
      <c r="E100" s="37"/>
      <c r="F100" s="37"/>
      <c r="G100" s="37"/>
      <c r="H100" s="37">
        <f t="shared" si="6"/>
        <v>0</v>
      </c>
      <c r="I100" s="38"/>
      <c r="J100" s="38"/>
      <c r="K100" s="38"/>
      <c r="L100" s="38">
        <f t="shared" si="7"/>
        <v>0</v>
      </c>
      <c r="M100" s="38" t="str">
        <f t="shared" si="8"/>
        <v/>
      </c>
      <c r="N100" s="39">
        <v>1</v>
      </c>
      <c r="O100" s="35"/>
      <c r="P100" s="35" t="str">
        <f t="shared" si="9"/>
        <v/>
      </c>
      <c r="Q100" s="37" t="str">
        <f t="shared" ca="1" si="10"/>
        <v/>
      </c>
    </row>
    <row r="101" spans="3:17" x14ac:dyDescent="0.25">
      <c r="C101" s="35"/>
      <c r="D101" s="46"/>
      <c r="E101" s="37"/>
      <c r="F101" s="37"/>
      <c r="G101" s="37"/>
      <c r="H101" s="37">
        <f t="shared" si="6"/>
        <v>0</v>
      </c>
      <c r="I101" s="38"/>
      <c r="J101" s="38"/>
      <c r="K101" s="38"/>
      <c r="L101" s="38">
        <f t="shared" si="7"/>
        <v>0</v>
      </c>
      <c r="M101" s="38" t="str">
        <f t="shared" si="8"/>
        <v/>
      </c>
      <c r="N101" s="39">
        <v>1</v>
      </c>
      <c r="O101" s="35"/>
      <c r="P101" s="35" t="str">
        <f t="shared" si="9"/>
        <v/>
      </c>
      <c r="Q101" s="37" t="str">
        <f t="shared" ca="1" si="10"/>
        <v/>
      </c>
    </row>
    <row r="102" spans="3:17" x14ac:dyDescent="0.25">
      <c r="C102" s="35"/>
      <c r="D102" s="46"/>
      <c r="E102" s="37"/>
      <c r="F102" s="37"/>
      <c r="G102" s="37"/>
      <c r="H102" s="37">
        <f t="shared" si="6"/>
        <v>0</v>
      </c>
      <c r="I102" s="38"/>
      <c r="J102" s="38"/>
      <c r="K102" s="38"/>
      <c r="L102" s="38">
        <f t="shared" si="7"/>
        <v>0</v>
      </c>
      <c r="M102" s="38" t="str">
        <f t="shared" si="8"/>
        <v/>
      </c>
      <c r="N102" s="39">
        <v>1</v>
      </c>
      <c r="O102" s="35"/>
      <c r="P102" s="35" t="str">
        <f t="shared" si="9"/>
        <v/>
      </c>
      <c r="Q102" s="37" t="str">
        <f t="shared" ca="1" si="10"/>
        <v/>
      </c>
    </row>
    <row r="103" spans="3:17" x14ac:dyDescent="0.25">
      <c r="C103" s="35"/>
      <c r="D103" s="46"/>
      <c r="E103" s="37"/>
      <c r="F103" s="37"/>
      <c r="G103" s="37"/>
      <c r="H103" s="37">
        <f t="shared" si="6"/>
        <v>0</v>
      </c>
      <c r="I103" s="38"/>
      <c r="J103" s="38"/>
      <c r="K103" s="38"/>
      <c r="L103" s="38">
        <f t="shared" si="7"/>
        <v>0</v>
      </c>
      <c r="M103" s="38" t="str">
        <f t="shared" si="8"/>
        <v/>
      </c>
      <c r="N103" s="39">
        <v>1</v>
      </c>
      <c r="O103" s="35"/>
      <c r="P103" s="35" t="str">
        <f t="shared" si="9"/>
        <v/>
      </c>
      <c r="Q103" s="37" t="str">
        <f t="shared" ca="1" si="10"/>
        <v/>
      </c>
    </row>
    <row r="104" spans="3:17" x14ac:dyDescent="0.25">
      <c r="C104" s="35"/>
      <c r="D104" s="46"/>
      <c r="E104" s="37"/>
      <c r="F104" s="37"/>
      <c r="G104" s="37"/>
      <c r="H104" s="37">
        <f t="shared" si="6"/>
        <v>0</v>
      </c>
      <c r="I104" s="38"/>
      <c r="J104" s="38"/>
      <c r="K104" s="38"/>
      <c r="L104" s="38">
        <f t="shared" si="7"/>
        <v>0</v>
      </c>
      <c r="M104" s="38" t="str">
        <f t="shared" si="8"/>
        <v/>
      </c>
      <c r="N104" s="39">
        <v>1</v>
      </c>
      <c r="O104" s="35"/>
      <c r="P104" s="35" t="str">
        <f t="shared" si="9"/>
        <v/>
      </c>
      <c r="Q104" s="37" t="str">
        <f t="shared" ca="1" si="10"/>
        <v/>
      </c>
    </row>
    <row r="105" spans="3:17" x14ac:dyDescent="0.25">
      <c r="C105" s="35"/>
      <c r="D105" s="46"/>
      <c r="E105" s="37"/>
      <c r="F105" s="37"/>
      <c r="G105" s="37"/>
      <c r="H105" s="37">
        <f t="shared" si="6"/>
        <v>0</v>
      </c>
      <c r="I105" s="38"/>
      <c r="J105" s="38"/>
      <c r="K105" s="38"/>
      <c r="L105" s="38">
        <f t="shared" si="7"/>
        <v>0</v>
      </c>
      <c r="M105" s="38" t="str">
        <f t="shared" si="8"/>
        <v/>
      </c>
      <c r="N105" s="39">
        <v>1</v>
      </c>
      <c r="O105" s="35"/>
      <c r="P105" s="35" t="str">
        <f t="shared" si="9"/>
        <v/>
      </c>
      <c r="Q105" s="37" t="str">
        <f t="shared" ca="1" si="10"/>
        <v/>
      </c>
    </row>
    <row r="106" spans="3:17" x14ac:dyDescent="0.25">
      <c r="C106" s="35"/>
      <c r="D106" s="46"/>
      <c r="E106" s="37"/>
      <c r="F106" s="37"/>
      <c r="G106" s="37"/>
      <c r="H106" s="37">
        <f t="shared" si="6"/>
        <v>0</v>
      </c>
      <c r="I106" s="38"/>
      <c r="J106" s="38"/>
      <c r="K106" s="38"/>
      <c r="L106" s="38">
        <f t="shared" si="7"/>
        <v>0</v>
      </c>
      <c r="M106" s="38" t="str">
        <f t="shared" si="8"/>
        <v/>
      </c>
      <c r="N106" s="39">
        <v>1</v>
      </c>
      <c r="O106" s="35"/>
      <c r="P106" s="35" t="str">
        <f t="shared" si="9"/>
        <v/>
      </c>
      <c r="Q106" s="37" t="str">
        <f t="shared" ca="1" si="10"/>
        <v/>
      </c>
    </row>
    <row r="107" spans="3:17" x14ac:dyDescent="0.25">
      <c r="C107" s="35"/>
      <c r="D107" s="46"/>
      <c r="E107" s="37"/>
      <c r="F107" s="37"/>
      <c r="G107" s="37"/>
      <c r="H107" s="37">
        <f t="shared" si="6"/>
        <v>0</v>
      </c>
      <c r="I107" s="38"/>
      <c r="J107" s="38"/>
      <c r="K107" s="38"/>
      <c r="L107" s="38">
        <f t="shared" si="7"/>
        <v>0</v>
      </c>
      <c r="M107" s="38" t="str">
        <f t="shared" si="8"/>
        <v/>
      </c>
      <c r="N107" s="39">
        <v>1</v>
      </c>
      <c r="O107" s="35"/>
      <c r="P107" s="35" t="str">
        <f t="shared" si="9"/>
        <v/>
      </c>
      <c r="Q107" s="37" t="str">
        <f t="shared" ca="1" si="10"/>
        <v/>
      </c>
    </row>
    <row r="108" spans="3:17" x14ac:dyDescent="0.25">
      <c r="C108" s="35"/>
      <c r="D108" s="46"/>
      <c r="E108" s="37"/>
      <c r="F108" s="37"/>
      <c r="G108" s="37"/>
      <c r="H108" s="37">
        <f t="shared" si="6"/>
        <v>0</v>
      </c>
      <c r="I108" s="38"/>
      <c r="J108" s="38"/>
      <c r="K108" s="38"/>
      <c r="L108" s="38">
        <f t="shared" si="7"/>
        <v>0</v>
      </c>
      <c r="M108" s="38" t="str">
        <f t="shared" si="8"/>
        <v/>
      </c>
      <c r="N108" s="39">
        <v>1</v>
      </c>
      <c r="O108" s="35"/>
      <c r="P108" s="35" t="str">
        <f t="shared" si="9"/>
        <v/>
      </c>
      <c r="Q108" s="37" t="str">
        <f t="shared" ca="1" si="10"/>
        <v/>
      </c>
    </row>
    <row r="109" spans="3:17" x14ac:dyDescent="0.25">
      <c r="C109" s="35"/>
      <c r="D109" s="46"/>
      <c r="E109" s="37"/>
      <c r="F109" s="37"/>
      <c r="G109" s="37"/>
      <c r="H109" s="37">
        <f t="shared" si="6"/>
        <v>0</v>
      </c>
      <c r="I109" s="38"/>
      <c r="J109" s="38"/>
      <c r="K109" s="38"/>
      <c r="L109" s="38">
        <f t="shared" si="7"/>
        <v>0</v>
      </c>
      <c r="M109" s="38" t="str">
        <f t="shared" si="8"/>
        <v/>
      </c>
      <c r="N109" s="39">
        <v>1</v>
      </c>
      <c r="O109" s="35"/>
      <c r="P109" s="35" t="str">
        <f t="shared" si="9"/>
        <v/>
      </c>
      <c r="Q109" s="37" t="str">
        <f t="shared" ca="1" si="10"/>
        <v/>
      </c>
    </row>
    <row r="110" spans="3:17" x14ac:dyDescent="0.25">
      <c r="C110" s="35"/>
      <c r="D110" s="46"/>
      <c r="E110" s="37"/>
      <c r="F110" s="37"/>
      <c r="G110" s="37"/>
      <c r="H110" s="37">
        <f t="shared" si="6"/>
        <v>0</v>
      </c>
      <c r="I110" s="38"/>
      <c r="J110" s="38"/>
      <c r="K110" s="38"/>
      <c r="L110" s="38">
        <f t="shared" si="7"/>
        <v>0</v>
      </c>
      <c r="M110" s="38" t="str">
        <f t="shared" si="8"/>
        <v/>
      </c>
      <c r="N110" s="39">
        <v>1</v>
      </c>
      <c r="O110" s="35"/>
      <c r="P110" s="35" t="str">
        <f t="shared" si="9"/>
        <v/>
      </c>
      <c r="Q110" s="37" t="str">
        <f t="shared" ca="1" si="10"/>
        <v/>
      </c>
    </row>
    <row r="111" spans="3:17" x14ac:dyDescent="0.25">
      <c r="C111" s="35"/>
      <c r="D111" s="46"/>
      <c r="E111" s="37"/>
      <c r="F111" s="37"/>
      <c r="G111" s="37"/>
      <c r="H111" s="37">
        <f t="shared" ref="H111:H143" si="11">COUNTA(E111:G111)</f>
        <v>0</v>
      </c>
      <c r="I111" s="38"/>
      <c r="J111" s="38"/>
      <c r="K111" s="38"/>
      <c r="L111" s="38">
        <f t="shared" ref="L111:L143" si="12">I111/N111</f>
        <v>0</v>
      </c>
      <c r="M111" s="38" t="str">
        <f t="shared" ref="M111:M143" si="13">IFERROR(L111/H111,"")</f>
        <v/>
      </c>
      <c r="N111" s="39">
        <v>1</v>
      </c>
      <c r="O111" s="35"/>
      <c r="P111" s="35" t="str">
        <f t="shared" ref="P111:P143" si="14">IF(N111&lt;&gt;1,EDATE(O111,N111-1),"")</f>
        <v/>
      </c>
      <c r="Q111" s="37" t="str">
        <f t="shared" ref="Q111:Q143" ca="1" si="15">IF(O111&lt;&gt;"",IFERROR(DATEDIF(O111,TODAY(),"m")+1,""),"")</f>
        <v/>
      </c>
    </row>
    <row r="112" spans="3:17" x14ac:dyDescent="0.25">
      <c r="C112" s="35"/>
      <c r="D112" s="46"/>
      <c r="E112" s="37"/>
      <c r="F112" s="37"/>
      <c r="G112" s="37"/>
      <c r="H112" s="37">
        <f t="shared" si="11"/>
        <v>0</v>
      </c>
      <c r="I112" s="38"/>
      <c r="J112" s="38"/>
      <c r="K112" s="38"/>
      <c r="L112" s="38">
        <f t="shared" si="12"/>
        <v>0</v>
      </c>
      <c r="M112" s="38" t="str">
        <f t="shared" si="13"/>
        <v/>
      </c>
      <c r="N112" s="39">
        <v>1</v>
      </c>
      <c r="O112" s="35"/>
      <c r="P112" s="35" t="str">
        <f t="shared" si="14"/>
        <v/>
      </c>
      <c r="Q112" s="37" t="str">
        <f t="shared" ca="1" si="15"/>
        <v/>
      </c>
    </row>
    <row r="113" spans="3:17" x14ac:dyDescent="0.25">
      <c r="C113" s="35"/>
      <c r="D113" s="46"/>
      <c r="E113" s="37"/>
      <c r="F113" s="37"/>
      <c r="G113" s="37"/>
      <c r="H113" s="37">
        <f t="shared" si="11"/>
        <v>0</v>
      </c>
      <c r="I113" s="38"/>
      <c r="J113" s="38"/>
      <c r="K113" s="38"/>
      <c r="L113" s="38">
        <f t="shared" si="12"/>
        <v>0</v>
      </c>
      <c r="M113" s="38" t="str">
        <f t="shared" si="13"/>
        <v/>
      </c>
      <c r="N113" s="39">
        <v>1</v>
      </c>
      <c r="O113" s="35"/>
      <c r="P113" s="35" t="str">
        <f t="shared" si="14"/>
        <v/>
      </c>
      <c r="Q113" s="37" t="str">
        <f t="shared" ca="1" si="15"/>
        <v/>
      </c>
    </row>
    <row r="114" spans="3:17" x14ac:dyDescent="0.25">
      <c r="C114" s="35"/>
      <c r="D114" s="46"/>
      <c r="E114" s="37"/>
      <c r="F114" s="37"/>
      <c r="G114" s="37"/>
      <c r="H114" s="37">
        <f t="shared" si="11"/>
        <v>0</v>
      </c>
      <c r="I114" s="38"/>
      <c r="J114" s="38"/>
      <c r="K114" s="38"/>
      <c r="L114" s="38">
        <f t="shared" si="12"/>
        <v>0</v>
      </c>
      <c r="M114" s="38" t="str">
        <f t="shared" si="13"/>
        <v/>
      </c>
      <c r="N114" s="39">
        <v>1</v>
      </c>
      <c r="O114" s="35"/>
      <c r="P114" s="35" t="str">
        <f t="shared" si="14"/>
        <v/>
      </c>
      <c r="Q114" s="37" t="str">
        <f t="shared" ca="1" si="15"/>
        <v/>
      </c>
    </row>
    <row r="115" spans="3:17" x14ac:dyDescent="0.25">
      <c r="C115" s="35"/>
      <c r="D115" s="46"/>
      <c r="E115" s="37"/>
      <c r="F115" s="37"/>
      <c r="G115" s="37"/>
      <c r="H115" s="37">
        <f t="shared" si="11"/>
        <v>0</v>
      </c>
      <c r="I115" s="38"/>
      <c r="J115" s="38"/>
      <c r="K115" s="38"/>
      <c r="L115" s="38">
        <f t="shared" si="12"/>
        <v>0</v>
      </c>
      <c r="M115" s="38" t="str">
        <f t="shared" si="13"/>
        <v/>
      </c>
      <c r="N115" s="39">
        <v>1</v>
      </c>
      <c r="O115" s="35"/>
      <c r="P115" s="35" t="str">
        <f t="shared" si="14"/>
        <v/>
      </c>
      <c r="Q115" s="37" t="str">
        <f t="shared" ca="1" si="15"/>
        <v/>
      </c>
    </row>
    <row r="116" spans="3:17" x14ac:dyDescent="0.25">
      <c r="C116" s="35"/>
      <c r="D116" s="46"/>
      <c r="E116" s="37"/>
      <c r="F116" s="37"/>
      <c r="G116" s="37"/>
      <c r="H116" s="37">
        <f t="shared" si="11"/>
        <v>0</v>
      </c>
      <c r="I116" s="38"/>
      <c r="J116" s="38"/>
      <c r="K116" s="38"/>
      <c r="L116" s="38">
        <f t="shared" si="12"/>
        <v>0</v>
      </c>
      <c r="M116" s="38" t="str">
        <f t="shared" si="13"/>
        <v/>
      </c>
      <c r="N116" s="39">
        <v>1</v>
      </c>
      <c r="O116" s="35"/>
      <c r="P116" s="35" t="str">
        <f t="shared" si="14"/>
        <v/>
      </c>
      <c r="Q116" s="37" t="str">
        <f t="shared" ca="1" si="15"/>
        <v/>
      </c>
    </row>
    <row r="117" spans="3:17" x14ac:dyDescent="0.25">
      <c r="C117" s="35"/>
      <c r="D117" s="46"/>
      <c r="E117" s="37"/>
      <c r="F117" s="37"/>
      <c r="G117" s="37"/>
      <c r="H117" s="37">
        <f t="shared" si="11"/>
        <v>0</v>
      </c>
      <c r="I117" s="38"/>
      <c r="J117" s="38"/>
      <c r="K117" s="38"/>
      <c r="L117" s="38">
        <f t="shared" si="12"/>
        <v>0</v>
      </c>
      <c r="M117" s="38" t="str">
        <f t="shared" si="13"/>
        <v/>
      </c>
      <c r="N117" s="39">
        <v>1</v>
      </c>
      <c r="O117" s="35"/>
      <c r="P117" s="35" t="str">
        <f t="shared" si="14"/>
        <v/>
      </c>
      <c r="Q117" s="37" t="str">
        <f t="shared" ca="1" si="15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11"/>
        <v>0</v>
      </c>
      <c r="I118" s="38"/>
      <c r="J118" s="38"/>
      <c r="K118" s="38"/>
      <c r="L118" s="38">
        <f t="shared" si="12"/>
        <v>0</v>
      </c>
      <c r="M118" s="38" t="str">
        <f t="shared" si="13"/>
        <v/>
      </c>
      <c r="N118" s="39">
        <v>1</v>
      </c>
      <c r="O118" s="35"/>
      <c r="P118" s="35" t="str">
        <f t="shared" si="14"/>
        <v/>
      </c>
      <c r="Q118" s="37" t="str">
        <f t="shared" ca="1" si="15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11"/>
        <v>0</v>
      </c>
      <c r="I119" s="38"/>
      <c r="J119" s="38"/>
      <c r="K119" s="38"/>
      <c r="L119" s="38">
        <f t="shared" si="12"/>
        <v>0</v>
      </c>
      <c r="M119" s="38" t="str">
        <f t="shared" si="13"/>
        <v/>
      </c>
      <c r="N119" s="39">
        <v>1</v>
      </c>
      <c r="O119" s="35"/>
      <c r="P119" s="35" t="str">
        <f t="shared" si="14"/>
        <v/>
      </c>
      <c r="Q119" s="37" t="str">
        <f t="shared" ca="1" si="15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11"/>
        <v>0</v>
      </c>
      <c r="I120" s="38"/>
      <c r="J120" s="38"/>
      <c r="K120" s="38"/>
      <c r="L120" s="38">
        <f t="shared" si="12"/>
        <v>0</v>
      </c>
      <c r="M120" s="38" t="str">
        <f t="shared" si="13"/>
        <v/>
      </c>
      <c r="N120" s="39">
        <v>1</v>
      </c>
      <c r="O120" s="35"/>
      <c r="P120" s="35" t="str">
        <f t="shared" si="14"/>
        <v/>
      </c>
      <c r="Q120" s="37" t="str">
        <f t="shared" ca="1" si="15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11"/>
        <v>0</v>
      </c>
      <c r="I121" s="38"/>
      <c r="J121" s="38"/>
      <c r="K121" s="38"/>
      <c r="L121" s="38">
        <f t="shared" si="12"/>
        <v>0</v>
      </c>
      <c r="M121" s="38" t="str">
        <f t="shared" si="13"/>
        <v/>
      </c>
      <c r="N121" s="39">
        <v>1</v>
      </c>
      <c r="O121" s="35"/>
      <c r="P121" s="35" t="str">
        <f t="shared" si="14"/>
        <v/>
      </c>
      <c r="Q121" s="37" t="str">
        <f t="shared" ca="1" si="15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11"/>
        <v>0</v>
      </c>
      <c r="I122" s="38"/>
      <c r="J122" s="38"/>
      <c r="K122" s="38"/>
      <c r="L122" s="38">
        <f t="shared" si="12"/>
        <v>0</v>
      </c>
      <c r="M122" s="38" t="str">
        <f t="shared" si="13"/>
        <v/>
      </c>
      <c r="N122" s="39">
        <v>1</v>
      </c>
      <c r="O122" s="35"/>
      <c r="P122" s="35" t="str">
        <f t="shared" si="14"/>
        <v/>
      </c>
      <c r="Q122" s="37" t="str">
        <f t="shared" ca="1" si="15"/>
        <v/>
      </c>
    </row>
    <row r="123" spans="3:17" x14ac:dyDescent="0.25">
      <c r="C123" s="35"/>
      <c r="D123" s="46"/>
      <c r="E123" s="37"/>
      <c r="F123" s="37"/>
      <c r="G123" s="37"/>
      <c r="H123" s="37">
        <f t="shared" si="11"/>
        <v>0</v>
      </c>
      <c r="I123" s="38"/>
      <c r="J123" s="38"/>
      <c r="K123" s="38"/>
      <c r="L123" s="38">
        <f t="shared" si="12"/>
        <v>0</v>
      </c>
      <c r="M123" s="38" t="str">
        <f t="shared" si="13"/>
        <v/>
      </c>
      <c r="N123" s="39">
        <v>1</v>
      </c>
      <c r="O123" s="35"/>
      <c r="P123" s="35" t="str">
        <f t="shared" si="14"/>
        <v/>
      </c>
      <c r="Q123" s="37" t="str">
        <f t="shared" ca="1" si="15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11"/>
        <v>0</v>
      </c>
      <c r="I124" s="38"/>
      <c r="J124" s="38"/>
      <c r="K124" s="38"/>
      <c r="L124" s="38">
        <f t="shared" si="12"/>
        <v>0</v>
      </c>
      <c r="M124" s="38" t="str">
        <f t="shared" si="13"/>
        <v/>
      </c>
      <c r="N124" s="39">
        <v>1</v>
      </c>
      <c r="O124" s="35"/>
      <c r="P124" s="35" t="str">
        <f t="shared" si="14"/>
        <v/>
      </c>
      <c r="Q124" s="37" t="str">
        <f t="shared" ca="1" si="15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11"/>
        <v>0</v>
      </c>
      <c r="I125" s="38"/>
      <c r="J125" s="38"/>
      <c r="K125" s="38"/>
      <c r="L125" s="38">
        <f t="shared" si="12"/>
        <v>0</v>
      </c>
      <c r="M125" s="38" t="str">
        <f t="shared" si="13"/>
        <v/>
      </c>
      <c r="N125" s="39">
        <v>1</v>
      </c>
      <c r="O125" s="35"/>
      <c r="P125" s="35" t="str">
        <f t="shared" si="14"/>
        <v/>
      </c>
      <c r="Q125" s="37" t="str">
        <f t="shared" ca="1" si="15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11"/>
        <v>0</v>
      </c>
      <c r="I126" s="38"/>
      <c r="J126" s="38"/>
      <c r="K126" s="38"/>
      <c r="L126" s="38">
        <f t="shared" si="12"/>
        <v>0</v>
      </c>
      <c r="M126" s="38" t="str">
        <f t="shared" si="13"/>
        <v/>
      </c>
      <c r="N126" s="39">
        <v>1</v>
      </c>
      <c r="O126" s="35"/>
      <c r="P126" s="35" t="str">
        <f t="shared" si="14"/>
        <v/>
      </c>
      <c r="Q126" s="37" t="str">
        <f t="shared" ca="1" si="15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11"/>
        <v>0</v>
      </c>
      <c r="I127" s="38"/>
      <c r="J127" s="38"/>
      <c r="K127" s="38"/>
      <c r="L127" s="38">
        <f t="shared" si="12"/>
        <v>0</v>
      </c>
      <c r="M127" s="38" t="str">
        <f t="shared" si="13"/>
        <v/>
      </c>
      <c r="N127" s="39">
        <v>1</v>
      </c>
      <c r="O127" s="35"/>
      <c r="P127" s="35" t="str">
        <f t="shared" si="14"/>
        <v/>
      </c>
      <c r="Q127" s="37" t="str">
        <f t="shared" ca="1" si="15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11"/>
        <v>0</v>
      </c>
      <c r="I128" s="38"/>
      <c r="J128" s="38"/>
      <c r="K128" s="38"/>
      <c r="L128" s="38">
        <f t="shared" si="12"/>
        <v>0</v>
      </c>
      <c r="M128" s="38" t="str">
        <f t="shared" si="13"/>
        <v/>
      </c>
      <c r="N128" s="39">
        <v>1</v>
      </c>
      <c r="O128" s="35"/>
      <c r="P128" s="35" t="str">
        <f t="shared" si="14"/>
        <v/>
      </c>
      <c r="Q128" s="37" t="str">
        <f t="shared" ca="1" si="15"/>
        <v/>
      </c>
    </row>
    <row r="129" spans="3:17" x14ac:dyDescent="0.25">
      <c r="C129" s="35"/>
      <c r="D129" s="46"/>
      <c r="E129" s="37"/>
      <c r="F129" s="37"/>
      <c r="G129" s="37"/>
      <c r="H129" s="37">
        <f t="shared" si="11"/>
        <v>0</v>
      </c>
      <c r="I129" s="38"/>
      <c r="J129" s="38"/>
      <c r="K129" s="38"/>
      <c r="L129" s="38">
        <f t="shared" si="12"/>
        <v>0</v>
      </c>
      <c r="M129" s="38" t="str">
        <f t="shared" si="13"/>
        <v/>
      </c>
      <c r="N129" s="39">
        <v>1</v>
      </c>
      <c r="O129" s="35"/>
      <c r="P129" s="35" t="str">
        <f t="shared" si="14"/>
        <v/>
      </c>
      <c r="Q129" s="37" t="str">
        <f t="shared" ca="1" si="15"/>
        <v/>
      </c>
    </row>
    <row r="130" spans="3:17" x14ac:dyDescent="0.25">
      <c r="C130" s="35"/>
      <c r="D130" s="46"/>
      <c r="E130" s="37"/>
      <c r="F130" s="37"/>
      <c r="G130" s="37"/>
      <c r="H130" s="37">
        <f t="shared" si="11"/>
        <v>0</v>
      </c>
      <c r="I130" s="38"/>
      <c r="J130" s="38"/>
      <c r="K130" s="38"/>
      <c r="L130" s="38">
        <f t="shared" si="12"/>
        <v>0</v>
      </c>
      <c r="M130" s="38" t="str">
        <f t="shared" si="13"/>
        <v/>
      </c>
      <c r="N130" s="39">
        <v>1</v>
      </c>
      <c r="O130" s="35"/>
      <c r="P130" s="35" t="str">
        <f t="shared" si="14"/>
        <v/>
      </c>
      <c r="Q130" s="37" t="str">
        <f t="shared" ca="1" si="15"/>
        <v/>
      </c>
    </row>
    <row r="131" spans="3:17" x14ac:dyDescent="0.25">
      <c r="C131" s="35"/>
      <c r="D131" s="46"/>
      <c r="E131" s="37"/>
      <c r="F131" s="37"/>
      <c r="G131" s="37"/>
      <c r="H131" s="37">
        <f t="shared" si="11"/>
        <v>0</v>
      </c>
      <c r="I131" s="38"/>
      <c r="J131" s="38"/>
      <c r="K131" s="38"/>
      <c r="L131" s="38">
        <f t="shared" si="12"/>
        <v>0</v>
      </c>
      <c r="M131" s="38" t="str">
        <f t="shared" si="13"/>
        <v/>
      </c>
      <c r="N131" s="39">
        <v>1</v>
      </c>
      <c r="O131" s="35"/>
      <c r="P131" s="35" t="str">
        <f t="shared" si="14"/>
        <v/>
      </c>
      <c r="Q131" s="37" t="str">
        <f t="shared" ca="1" si="15"/>
        <v/>
      </c>
    </row>
    <row r="132" spans="3:17" x14ac:dyDescent="0.25">
      <c r="C132" s="35"/>
      <c r="D132" s="46"/>
      <c r="E132" s="37"/>
      <c r="F132" s="37"/>
      <c r="G132" s="37"/>
      <c r="H132" s="37">
        <f t="shared" si="11"/>
        <v>0</v>
      </c>
      <c r="I132" s="38"/>
      <c r="J132" s="38"/>
      <c r="K132" s="38"/>
      <c r="L132" s="38">
        <f t="shared" si="12"/>
        <v>0</v>
      </c>
      <c r="M132" s="38" t="str">
        <f t="shared" si="13"/>
        <v/>
      </c>
      <c r="N132" s="39">
        <v>1</v>
      </c>
      <c r="O132" s="35"/>
      <c r="P132" s="35" t="str">
        <f t="shared" si="14"/>
        <v/>
      </c>
      <c r="Q132" s="37" t="str">
        <f t="shared" ca="1" si="15"/>
        <v/>
      </c>
    </row>
    <row r="133" spans="3:17" x14ac:dyDescent="0.25">
      <c r="C133" s="35"/>
      <c r="D133" s="46"/>
      <c r="E133" s="37"/>
      <c r="F133" s="37"/>
      <c r="G133" s="37"/>
      <c r="H133" s="37">
        <f t="shared" si="11"/>
        <v>0</v>
      </c>
      <c r="I133" s="38"/>
      <c r="J133" s="38"/>
      <c r="K133" s="38"/>
      <c r="L133" s="38">
        <f t="shared" si="12"/>
        <v>0</v>
      </c>
      <c r="M133" s="38" t="str">
        <f t="shared" si="13"/>
        <v/>
      </c>
      <c r="N133" s="39">
        <v>1</v>
      </c>
      <c r="O133" s="35"/>
      <c r="P133" s="35" t="str">
        <f t="shared" si="14"/>
        <v/>
      </c>
      <c r="Q133" s="37" t="str">
        <f t="shared" ca="1" si="15"/>
        <v/>
      </c>
    </row>
    <row r="134" spans="3:17" x14ac:dyDescent="0.25">
      <c r="C134" s="35"/>
      <c r="D134" s="46"/>
      <c r="E134" s="37"/>
      <c r="F134" s="37"/>
      <c r="G134" s="37"/>
      <c r="H134" s="37">
        <f t="shared" si="11"/>
        <v>0</v>
      </c>
      <c r="I134" s="38"/>
      <c r="J134" s="38"/>
      <c r="K134" s="38"/>
      <c r="L134" s="38">
        <f t="shared" si="12"/>
        <v>0</v>
      </c>
      <c r="M134" s="38" t="str">
        <f t="shared" si="13"/>
        <v/>
      </c>
      <c r="N134" s="39">
        <v>1</v>
      </c>
      <c r="O134" s="35"/>
      <c r="P134" s="35" t="str">
        <f t="shared" si="14"/>
        <v/>
      </c>
      <c r="Q134" s="37" t="str">
        <f t="shared" ca="1" si="15"/>
        <v/>
      </c>
    </row>
    <row r="135" spans="3:17" x14ac:dyDescent="0.25">
      <c r="C135" s="35"/>
      <c r="D135" s="46"/>
      <c r="E135" s="37"/>
      <c r="F135" s="37"/>
      <c r="G135" s="37"/>
      <c r="H135" s="37">
        <f t="shared" si="11"/>
        <v>0</v>
      </c>
      <c r="I135" s="38"/>
      <c r="J135" s="38"/>
      <c r="K135" s="38"/>
      <c r="L135" s="38">
        <f t="shared" si="12"/>
        <v>0</v>
      </c>
      <c r="M135" s="38" t="str">
        <f t="shared" si="13"/>
        <v/>
      </c>
      <c r="N135" s="39">
        <v>1</v>
      </c>
      <c r="O135" s="35"/>
      <c r="P135" s="35" t="str">
        <f t="shared" si="14"/>
        <v/>
      </c>
      <c r="Q135" s="37" t="str">
        <f t="shared" ca="1" si="15"/>
        <v/>
      </c>
    </row>
    <row r="136" spans="3:17" x14ac:dyDescent="0.25">
      <c r="C136" s="35"/>
      <c r="D136" s="46"/>
      <c r="E136" s="37"/>
      <c r="F136" s="37"/>
      <c r="G136" s="37"/>
      <c r="H136" s="37">
        <f t="shared" si="11"/>
        <v>0</v>
      </c>
      <c r="I136" s="38"/>
      <c r="J136" s="38"/>
      <c r="K136" s="38"/>
      <c r="L136" s="38">
        <f t="shared" si="12"/>
        <v>0</v>
      </c>
      <c r="M136" s="38" t="str">
        <f t="shared" si="13"/>
        <v/>
      </c>
      <c r="N136" s="39">
        <v>1</v>
      </c>
      <c r="O136" s="35"/>
      <c r="P136" s="35" t="str">
        <f t="shared" si="14"/>
        <v/>
      </c>
      <c r="Q136" s="37" t="str">
        <f t="shared" ca="1" si="15"/>
        <v/>
      </c>
    </row>
    <row r="137" spans="3:17" x14ac:dyDescent="0.25">
      <c r="C137" s="35"/>
      <c r="D137" s="46"/>
      <c r="E137" s="37"/>
      <c r="F137" s="37"/>
      <c r="G137" s="37"/>
      <c r="H137" s="37">
        <f t="shared" si="11"/>
        <v>0</v>
      </c>
      <c r="I137" s="38"/>
      <c r="J137" s="38"/>
      <c r="K137" s="38"/>
      <c r="L137" s="38">
        <f t="shared" si="12"/>
        <v>0</v>
      </c>
      <c r="M137" s="38" t="str">
        <f t="shared" si="13"/>
        <v/>
      </c>
      <c r="N137" s="39">
        <v>1</v>
      </c>
      <c r="O137" s="35"/>
      <c r="P137" s="35" t="str">
        <f t="shared" si="14"/>
        <v/>
      </c>
      <c r="Q137" s="37" t="str">
        <f t="shared" ca="1" si="15"/>
        <v/>
      </c>
    </row>
    <row r="138" spans="3:17" x14ac:dyDescent="0.25">
      <c r="C138" s="35"/>
      <c r="D138" s="46"/>
      <c r="E138" s="37"/>
      <c r="F138" s="37"/>
      <c r="G138" s="37"/>
      <c r="H138" s="37">
        <f t="shared" si="11"/>
        <v>0</v>
      </c>
      <c r="I138" s="38"/>
      <c r="J138" s="38"/>
      <c r="K138" s="38"/>
      <c r="L138" s="38">
        <f t="shared" si="12"/>
        <v>0</v>
      </c>
      <c r="M138" s="38" t="str">
        <f t="shared" si="13"/>
        <v/>
      </c>
      <c r="N138" s="39">
        <v>1</v>
      </c>
      <c r="O138" s="35"/>
      <c r="P138" s="35" t="str">
        <f t="shared" si="14"/>
        <v/>
      </c>
      <c r="Q138" s="37" t="str">
        <f t="shared" ca="1" si="15"/>
        <v/>
      </c>
    </row>
    <row r="139" spans="3:17" x14ac:dyDescent="0.25">
      <c r="C139" s="35"/>
      <c r="D139" s="46"/>
      <c r="E139" s="37"/>
      <c r="F139" s="37"/>
      <c r="G139" s="37"/>
      <c r="H139" s="37">
        <f t="shared" si="11"/>
        <v>0</v>
      </c>
      <c r="I139" s="38"/>
      <c r="J139" s="38"/>
      <c r="K139" s="38"/>
      <c r="L139" s="38">
        <f t="shared" si="12"/>
        <v>0</v>
      </c>
      <c r="M139" s="38" t="str">
        <f t="shared" si="13"/>
        <v/>
      </c>
      <c r="N139" s="39">
        <v>1</v>
      </c>
      <c r="O139" s="35"/>
      <c r="P139" s="35" t="str">
        <f t="shared" si="14"/>
        <v/>
      </c>
      <c r="Q139" s="37" t="str">
        <f t="shared" ca="1" si="15"/>
        <v/>
      </c>
    </row>
    <row r="140" spans="3:17" x14ac:dyDescent="0.25">
      <c r="C140" s="35"/>
      <c r="D140" s="46"/>
      <c r="E140" s="37"/>
      <c r="F140" s="37"/>
      <c r="G140" s="37"/>
      <c r="H140" s="37">
        <f t="shared" si="11"/>
        <v>0</v>
      </c>
      <c r="I140" s="38"/>
      <c r="J140" s="38"/>
      <c r="K140" s="38"/>
      <c r="L140" s="38">
        <f t="shared" si="12"/>
        <v>0</v>
      </c>
      <c r="M140" s="38" t="str">
        <f t="shared" si="13"/>
        <v/>
      </c>
      <c r="N140" s="39">
        <v>1</v>
      </c>
      <c r="O140" s="35"/>
      <c r="P140" s="35" t="str">
        <f t="shared" si="14"/>
        <v/>
      </c>
      <c r="Q140" s="37" t="str">
        <f t="shared" ca="1" si="15"/>
        <v/>
      </c>
    </row>
    <row r="141" spans="3:17" x14ac:dyDescent="0.25">
      <c r="C141" s="35"/>
      <c r="D141" s="46"/>
      <c r="E141" s="37"/>
      <c r="F141" s="37"/>
      <c r="G141" s="37"/>
      <c r="H141" s="37">
        <f t="shared" si="11"/>
        <v>0</v>
      </c>
      <c r="I141" s="38"/>
      <c r="J141" s="38"/>
      <c r="K141" s="38"/>
      <c r="L141" s="38">
        <f t="shared" si="12"/>
        <v>0</v>
      </c>
      <c r="M141" s="38" t="str">
        <f t="shared" si="13"/>
        <v/>
      </c>
      <c r="N141" s="39">
        <v>1</v>
      </c>
      <c r="O141" s="35"/>
      <c r="P141" s="35" t="str">
        <f t="shared" si="14"/>
        <v/>
      </c>
      <c r="Q141" s="37" t="str">
        <f t="shared" ca="1" si="15"/>
        <v/>
      </c>
    </row>
    <row r="142" spans="3:17" x14ac:dyDescent="0.25">
      <c r="C142" s="35"/>
      <c r="D142" s="46"/>
      <c r="E142" s="37"/>
      <c r="F142" s="37"/>
      <c r="G142" s="37"/>
      <c r="H142" s="37">
        <f t="shared" si="11"/>
        <v>0</v>
      </c>
      <c r="I142" s="38"/>
      <c r="J142" s="38"/>
      <c r="K142" s="38"/>
      <c r="L142" s="38">
        <f t="shared" si="12"/>
        <v>0</v>
      </c>
      <c r="M142" s="38" t="str">
        <f t="shared" si="13"/>
        <v/>
      </c>
      <c r="N142" s="39">
        <v>1</v>
      </c>
      <c r="O142" s="35"/>
      <c r="P142" s="35" t="str">
        <f t="shared" si="14"/>
        <v/>
      </c>
      <c r="Q142" s="37" t="str">
        <f t="shared" ca="1" si="15"/>
        <v/>
      </c>
    </row>
    <row r="143" spans="3:17" x14ac:dyDescent="0.25">
      <c r="C143" s="35"/>
      <c r="D143" s="46"/>
      <c r="E143" s="37"/>
      <c r="F143" s="37"/>
      <c r="G143" s="37"/>
      <c r="H143" s="37">
        <f t="shared" si="11"/>
        <v>0</v>
      </c>
      <c r="I143" s="38"/>
      <c r="J143" s="38"/>
      <c r="K143" s="38"/>
      <c r="L143" s="38">
        <f t="shared" si="12"/>
        <v>0</v>
      </c>
      <c r="M143" s="38" t="str">
        <f t="shared" si="13"/>
        <v/>
      </c>
      <c r="N143" s="39">
        <v>1</v>
      </c>
      <c r="O143" s="35"/>
      <c r="P143" s="35" t="str">
        <f t="shared" si="14"/>
        <v/>
      </c>
      <c r="Q143" s="37" t="str">
        <f t="shared" ca="1" si="15"/>
        <v/>
      </c>
    </row>
  </sheetData>
  <autoFilter ref="C5:Q48" xr:uid="{00000000-0009-0000-0000-000003000000}">
    <sortState xmlns:xlrd2="http://schemas.microsoft.com/office/spreadsheetml/2017/richdata2" ref="C6:Q48">
      <sortCondition ref="P5:P48"/>
    </sortState>
  </autoFilter>
  <conditionalFormatting sqref="I6:I143">
    <cfRule type="cellIs" dxfId="19" priority="31" operator="lessThan">
      <formula>0</formula>
    </cfRule>
  </conditionalFormatting>
  <conditionalFormatting sqref="J6:J143">
    <cfRule type="cellIs" dxfId="18" priority="5" operator="equal">
      <formula>"Assinatura"</formula>
    </cfRule>
  </conditionalFormatting>
  <conditionalFormatting sqref="J6:K143">
    <cfRule type="cellIs" dxfId="17" priority="24" operator="equal">
      <formula>"Parcelado"</formula>
    </cfRule>
  </conditionalFormatting>
  <conditionalFormatting sqref="K40">
    <cfRule type="cellIs" dxfId="16" priority="23" operator="equal">
      <formula>"Assinatura"</formula>
    </cfRule>
  </conditionalFormatting>
  <conditionalFormatting sqref="K42">
    <cfRule type="cellIs" dxfId="15" priority="15" operator="equal">
      <formula>"Assinatura"</formula>
    </cfRule>
  </conditionalFormatting>
  <conditionalFormatting sqref="K50">
    <cfRule type="cellIs" dxfId="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C1" zoomScaleNormal="100" workbookViewId="0">
      <selection activeCell="I12" sqref="I12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35</v>
      </c>
      <c r="E2" s="33" t="s">
        <v>36</v>
      </c>
      <c r="F2" s="33" t="s">
        <v>37</v>
      </c>
      <c r="G2" s="33" t="s">
        <v>38</v>
      </c>
      <c r="H2" s="34" t="s">
        <v>39</v>
      </c>
      <c r="I2" s="33" t="s">
        <v>40</v>
      </c>
      <c r="J2" s="34" t="s">
        <v>43</v>
      </c>
      <c r="K2" s="34" t="s">
        <v>44</v>
      </c>
      <c r="L2" s="34" t="s">
        <v>45</v>
      </c>
      <c r="M2" s="33" t="s">
        <v>46</v>
      </c>
      <c r="N2" s="33" t="s">
        <v>47</v>
      </c>
      <c r="O2" s="34" t="s">
        <v>48</v>
      </c>
    </row>
    <row r="3" spans="2:18" ht="16.5" customHeight="1" x14ac:dyDescent="0.25">
      <c r="D3" s="54" t="s">
        <v>23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1522</v>
      </c>
      <c r="R3" s="16"/>
    </row>
    <row r="4" spans="2:18" ht="16.5" customHeight="1" x14ac:dyDescent="0.25">
      <c r="D4" s="55" t="s">
        <v>110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1522</v>
      </c>
      <c r="R4" s="16"/>
    </row>
    <row r="5" spans="2:18" ht="16.5" customHeight="1" x14ac:dyDescent="0.25">
      <c r="B5" s="30" t="s">
        <v>1</v>
      </c>
      <c r="D5" s="54" t="s">
        <v>111</v>
      </c>
      <c r="E5" s="36" t="s">
        <v>1</v>
      </c>
      <c r="F5" s="37" t="s">
        <v>2</v>
      </c>
      <c r="G5" s="37"/>
      <c r="H5" s="37">
        <f>COUNTA(E5:F5)</f>
        <v>2</v>
      </c>
      <c r="I5" s="38">
        <v>440</v>
      </c>
      <c r="J5" s="38">
        <f t="shared" si="0"/>
        <v>440</v>
      </c>
      <c r="K5" s="38">
        <f t="shared" si="1"/>
        <v>220</v>
      </c>
      <c r="L5" s="37">
        <f t="shared" si="2"/>
        <v>1</v>
      </c>
      <c r="M5" s="38"/>
      <c r="N5" s="38"/>
      <c r="O5" s="39">
        <f t="shared" ca="1" si="3"/>
        <v>1522</v>
      </c>
      <c r="P5" s="59"/>
    </row>
    <row r="6" spans="2:18" ht="16.5" customHeight="1" x14ac:dyDescent="0.25">
      <c r="B6" s="32">
        <f>SUMIF($E$3:$E$34,B5,$K$3:$K$34)</f>
        <v>2570.34</v>
      </c>
      <c r="D6" s="54" t="s">
        <v>112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1522</v>
      </c>
    </row>
    <row r="7" spans="2:18" ht="16.5" customHeight="1" x14ac:dyDescent="0.25">
      <c r="B7" s="60"/>
      <c r="D7" s="54" t="s">
        <v>113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1522</v>
      </c>
    </row>
    <row r="8" spans="2:18" ht="16.5" customHeight="1" x14ac:dyDescent="0.25">
      <c r="B8" s="30" t="s">
        <v>2</v>
      </c>
      <c r="D8" s="54" t="s">
        <v>92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1522</v>
      </c>
    </row>
    <row r="9" spans="2:18" ht="16.5" customHeight="1" x14ac:dyDescent="0.25">
      <c r="B9" s="61">
        <f>SUMIF($F$3:$F$34,B8,$K$3:$K$34)</f>
        <v>5612.34</v>
      </c>
      <c r="D9" s="54" t="s">
        <v>114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1522</v>
      </c>
    </row>
    <row r="10" spans="2:18" x14ac:dyDescent="0.25">
      <c r="D10" s="54" t="s">
        <v>115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1522</v>
      </c>
    </row>
    <row r="11" spans="2:18" x14ac:dyDescent="0.25">
      <c r="D11" s="54" t="s">
        <v>116</v>
      </c>
      <c r="E11" s="36"/>
      <c r="F11" s="37" t="s">
        <v>2</v>
      </c>
      <c r="G11" s="37"/>
      <c r="H11" s="37">
        <f>COUNTA(E11:G11)</f>
        <v>1</v>
      </c>
      <c r="I11" s="38">
        <v>750</v>
      </c>
      <c r="J11" s="38">
        <f t="shared" si="0"/>
        <v>750</v>
      </c>
      <c r="K11" s="38">
        <f t="shared" si="1"/>
        <v>750</v>
      </c>
      <c r="L11" s="37">
        <f t="shared" si="2"/>
        <v>1</v>
      </c>
      <c r="M11" s="38"/>
      <c r="N11" s="38"/>
      <c r="O11" s="39">
        <f t="shared" ca="1" si="3"/>
        <v>1522</v>
      </c>
    </row>
    <row r="12" spans="2:18" x14ac:dyDescent="0.25">
      <c r="D12" s="54" t="s">
        <v>117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1522</v>
      </c>
    </row>
    <row r="13" spans="2:18" x14ac:dyDescent="0.25">
      <c r="D13" s="54" t="s">
        <v>118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1522</v>
      </c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74" zoomScale="85" zoomScaleNormal="85" workbookViewId="0">
      <selection activeCell="B100" sqref="B99:C100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119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120</v>
      </c>
      <c r="M3" s="79" t="s">
        <v>121</v>
      </c>
      <c r="N3" s="43">
        <f>SUM(N5:N21)</f>
        <v>237</v>
      </c>
      <c r="O3" s="16"/>
    </row>
    <row r="4" spans="2:15" x14ac:dyDescent="0.25">
      <c r="G4" s="2"/>
      <c r="L4" s="48" t="s">
        <v>122</v>
      </c>
      <c r="M4" s="80"/>
      <c r="N4" s="49"/>
    </row>
    <row r="5" spans="2:15" x14ac:dyDescent="0.25">
      <c r="B5" s="43"/>
      <c r="C5" s="43"/>
      <c r="F5" s="16"/>
      <c r="G5" s="28"/>
      <c r="L5" t="s">
        <v>123</v>
      </c>
      <c r="N5" s="1">
        <v>100</v>
      </c>
      <c r="O5" s="16"/>
    </row>
    <row r="6" spans="2:15" x14ac:dyDescent="0.25">
      <c r="G6" s="2"/>
      <c r="L6" t="s">
        <v>124</v>
      </c>
      <c r="N6" s="1">
        <v>137</v>
      </c>
    </row>
    <row r="7" spans="2:15" x14ac:dyDescent="0.25">
      <c r="G7" s="2"/>
      <c r="N7" s="71"/>
    </row>
    <row r="8" spans="2:15" x14ac:dyDescent="0.25">
      <c r="F8" s="16"/>
      <c r="G8" s="50"/>
      <c r="N8" s="71"/>
    </row>
    <row r="9" spans="2:15" x14ac:dyDescent="0.25">
      <c r="F9" s="47" t="s">
        <v>125</v>
      </c>
      <c r="G9" s="28"/>
      <c r="N9" s="70"/>
    </row>
    <row r="10" spans="2:15" x14ac:dyDescent="0.25">
      <c r="E10" t="s">
        <v>126</v>
      </c>
      <c r="F10" s="16">
        <f>SUM(G11:I11)</f>
        <v>3370.1200000000044</v>
      </c>
      <c r="G10" s="51" t="s">
        <v>127</v>
      </c>
      <c r="H10" s="51" t="s">
        <v>128</v>
      </c>
      <c r="I10" s="51" t="s">
        <v>129</v>
      </c>
      <c r="N10" s="70"/>
    </row>
    <row r="11" spans="2:15" x14ac:dyDescent="0.25">
      <c r="E11" t="s">
        <v>130</v>
      </c>
      <c r="F11" s="16">
        <f>SUM(G11:H11)</f>
        <v>3370.1200000000044</v>
      </c>
      <c r="G11" s="1">
        <f>G12+SUM(G14:G496)</f>
        <v>3370.1200000000044</v>
      </c>
      <c r="H11" s="1">
        <f>H12+SUM(H14:H496)</f>
        <v>0</v>
      </c>
      <c r="I11" s="1">
        <f>I12+SUM(I14:I496)</f>
        <v>0</v>
      </c>
      <c r="N11" s="70"/>
    </row>
    <row r="12" spans="2:15" x14ac:dyDescent="0.25">
      <c r="F12" t="s">
        <v>120</v>
      </c>
      <c r="G12" s="1">
        <v>15250</v>
      </c>
      <c r="N12" s="70"/>
    </row>
    <row r="13" spans="2:15" x14ac:dyDescent="0.25">
      <c r="F13" s="74" t="s">
        <v>122</v>
      </c>
      <c r="G13" s="52"/>
      <c r="H13" s="74"/>
      <c r="I13" s="74"/>
      <c r="N13" s="70"/>
    </row>
    <row r="14" spans="2:15" outlineLevel="1" x14ac:dyDescent="0.25">
      <c r="F14" t="s">
        <v>131</v>
      </c>
      <c r="G14" s="53"/>
      <c r="H14" s="53"/>
      <c r="I14" s="53"/>
      <c r="N14" s="43"/>
    </row>
    <row r="15" spans="2:15" outlineLevel="1" x14ac:dyDescent="0.25">
      <c r="F15" t="s">
        <v>132</v>
      </c>
      <c r="G15" s="53">
        <v>773.35</v>
      </c>
      <c r="H15" s="53"/>
      <c r="I15" s="53"/>
      <c r="N15" s="43"/>
    </row>
    <row r="16" spans="2:15" outlineLevel="1" x14ac:dyDescent="0.25">
      <c r="F16" t="s">
        <v>133</v>
      </c>
      <c r="G16" s="53">
        <v>-5148</v>
      </c>
      <c r="H16" s="53"/>
      <c r="I16" s="53"/>
      <c r="N16" s="43"/>
    </row>
    <row r="17" spans="6:14" outlineLevel="1" x14ac:dyDescent="0.25">
      <c r="F17" t="s">
        <v>134</v>
      </c>
      <c r="G17" s="53">
        <v>-168</v>
      </c>
      <c r="H17" s="53"/>
      <c r="I17" s="53"/>
      <c r="N17" s="43"/>
    </row>
    <row r="18" spans="6:14" outlineLevel="1" x14ac:dyDescent="0.25">
      <c r="F18" t="s">
        <v>135</v>
      </c>
      <c r="G18" s="53">
        <v>-1700</v>
      </c>
      <c r="H18" s="53"/>
      <c r="I18" s="53"/>
      <c r="N18" s="43"/>
    </row>
    <row r="19" spans="6:14" outlineLevel="1" x14ac:dyDescent="0.25">
      <c r="F19" t="s">
        <v>136</v>
      </c>
      <c r="G19" s="53">
        <v>5148</v>
      </c>
      <c r="H19" s="53"/>
      <c r="I19" s="53"/>
      <c r="N19" s="43"/>
    </row>
    <row r="20" spans="6:14" outlineLevel="1" x14ac:dyDescent="0.25">
      <c r="F20" t="s">
        <v>137</v>
      </c>
      <c r="G20" s="53">
        <v>-4938</v>
      </c>
      <c r="H20" s="53"/>
      <c r="I20" s="53"/>
      <c r="N20" s="43"/>
    </row>
    <row r="21" spans="6:14" outlineLevel="1" x14ac:dyDescent="0.25">
      <c r="F21" t="s">
        <v>138</v>
      </c>
      <c r="G21" s="53">
        <v>-1595</v>
      </c>
      <c r="H21" s="53"/>
      <c r="I21" s="53"/>
      <c r="N21" s="43"/>
    </row>
    <row r="22" spans="6:14" outlineLevel="1" x14ac:dyDescent="0.25">
      <c r="F22" t="s">
        <v>139</v>
      </c>
      <c r="G22" s="53">
        <v>-4677</v>
      </c>
      <c r="H22" s="53"/>
      <c r="I22" s="53"/>
      <c r="N22" s="43"/>
    </row>
    <row r="23" spans="6:14" outlineLevel="1" x14ac:dyDescent="0.25">
      <c r="F23" t="s">
        <v>140</v>
      </c>
      <c r="G23" s="53">
        <v>-200</v>
      </c>
      <c r="H23" s="53"/>
      <c r="I23" s="53"/>
      <c r="N23" s="43"/>
    </row>
    <row r="24" spans="6:14" outlineLevel="1" x14ac:dyDescent="0.25">
      <c r="F24" t="s">
        <v>136</v>
      </c>
      <c r="G24" s="53">
        <v>4677</v>
      </c>
      <c r="H24" s="53"/>
      <c r="I24" s="53"/>
      <c r="N24" s="43"/>
    </row>
    <row r="25" spans="6:14" outlineLevel="1" x14ac:dyDescent="0.25">
      <c r="F25" t="s">
        <v>141</v>
      </c>
      <c r="G25" s="53">
        <v>-750</v>
      </c>
      <c r="H25" s="53"/>
      <c r="I25" s="53"/>
      <c r="N25" s="43"/>
    </row>
    <row r="26" spans="6:14" outlineLevel="1" x14ac:dyDescent="0.25">
      <c r="F26" t="s">
        <v>142</v>
      </c>
      <c r="G26" s="53">
        <v>-652</v>
      </c>
      <c r="H26" s="53"/>
      <c r="I26" s="53"/>
      <c r="N26" s="43"/>
    </row>
    <row r="27" spans="6:14" outlineLevel="1" x14ac:dyDescent="0.25">
      <c r="F27" t="s">
        <v>143</v>
      </c>
      <c r="G27" s="53">
        <v>11100</v>
      </c>
      <c r="H27" s="53"/>
      <c r="I27" s="53"/>
      <c r="N27" s="43"/>
    </row>
    <row r="28" spans="6:14" outlineLevel="1" x14ac:dyDescent="0.25">
      <c r="F28" t="s">
        <v>144</v>
      </c>
      <c r="G28" s="53">
        <v>-396</v>
      </c>
      <c r="H28" s="53"/>
      <c r="I28" s="53"/>
      <c r="N28" s="43"/>
    </row>
    <row r="29" spans="6:14" outlineLevel="1" x14ac:dyDescent="0.25">
      <c r="F29" t="s">
        <v>139</v>
      </c>
      <c r="G29" s="53">
        <v>-4211</v>
      </c>
      <c r="H29" s="53"/>
      <c r="I29" s="53"/>
      <c r="N29" s="43"/>
    </row>
    <row r="30" spans="6:14" outlineLevel="1" x14ac:dyDescent="0.25">
      <c r="F30" t="s">
        <v>145</v>
      </c>
      <c r="G30" s="53">
        <v>-450</v>
      </c>
      <c r="H30" s="53"/>
      <c r="I30" s="53"/>
      <c r="N30" s="43"/>
    </row>
    <row r="31" spans="6:14" outlineLevel="1" x14ac:dyDescent="0.25">
      <c r="F31" t="s">
        <v>146</v>
      </c>
      <c r="G31" s="53">
        <v>-1197</v>
      </c>
      <c r="H31" s="53"/>
      <c r="I31" s="53"/>
      <c r="N31" s="43"/>
    </row>
    <row r="32" spans="6:14" outlineLevel="1" x14ac:dyDescent="0.25">
      <c r="F32" t="s">
        <v>147</v>
      </c>
      <c r="G32" s="53">
        <v>-315</v>
      </c>
      <c r="H32" s="53"/>
      <c r="I32" s="53"/>
      <c r="N32" s="43"/>
    </row>
    <row r="33" spans="5:14" outlineLevel="1" x14ac:dyDescent="0.25">
      <c r="F33" t="s">
        <v>148</v>
      </c>
      <c r="G33" s="53">
        <v>-830</v>
      </c>
      <c r="H33" s="53"/>
      <c r="I33" s="53"/>
      <c r="N33" s="43"/>
    </row>
    <row r="34" spans="5:14" outlineLevel="1" x14ac:dyDescent="0.25">
      <c r="F34" t="s">
        <v>149</v>
      </c>
      <c r="G34" s="53">
        <v>4211</v>
      </c>
      <c r="H34" s="53"/>
      <c r="I34" s="53"/>
      <c r="N34" s="43"/>
    </row>
    <row r="35" spans="5:14" outlineLevel="1" x14ac:dyDescent="0.25">
      <c r="F35" t="s">
        <v>150</v>
      </c>
      <c r="G35" s="53">
        <v>-200</v>
      </c>
      <c r="H35" s="53"/>
      <c r="I35" s="53"/>
      <c r="N35" s="43"/>
    </row>
    <row r="36" spans="5:14" outlineLevel="1" x14ac:dyDescent="0.25">
      <c r="F36" t="s">
        <v>151</v>
      </c>
      <c r="G36" s="53">
        <v>10000</v>
      </c>
      <c r="H36" s="53"/>
      <c r="I36" s="53"/>
      <c r="N36" s="43"/>
    </row>
    <row r="37" spans="5:14" outlineLevel="1" x14ac:dyDescent="0.25">
      <c r="F37" t="s">
        <v>152</v>
      </c>
      <c r="G37" s="53">
        <v>-200</v>
      </c>
      <c r="H37" s="53"/>
      <c r="I37" s="53"/>
      <c r="N37" s="43"/>
    </row>
    <row r="38" spans="5:14" outlineLevel="1" x14ac:dyDescent="0.25">
      <c r="F38" t="s">
        <v>153</v>
      </c>
      <c r="G38" s="53">
        <v>-381</v>
      </c>
      <c r="H38" s="53"/>
      <c r="I38" s="53"/>
      <c r="N38" s="43"/>
    </row>
    <row r="39" spans="5:14" outlineLevel="1" x14ac:dyDescent="0.25">
      <c r="F39" t="s">
        <v>139</v>
      </c>
      <c r="G39" s="53">
        <v>-4911</v>
      </c>
      <c r="H39" s="53"/>
      <c r="I39" s="53"/>
      <c r="N39" s="43"/>
    </row>
    <row r="40" spans="5:14" outlineLevel="1" x14ac:dyDescent="0.25">
      <c r="E40" s="2"/>
      <c r="F40" t="s">
        <v>154</v>
      </c>
      <c r="G40" s="53">
        <v>-5700</v>
      </c>
      <c r="H40" s="53"/>
      <c r="I40" s="53"/>
      <c r="N40" s="43"/>
    </row>
    <row r="41" spans="5:14" outlineLevel="1" x14ac:dyDescent="0.25">
      <c r="F41" t="s">
        <v>155</v>
      </c>
      <c r="G41" s="53">
        <v>-400</v>
      </c>
      <c r="H41" s="53"/>
      <c r="I41" s="53"/>
      <c r="N41" s="43"/>
    </row>
    <row r="42" spans="5:14" outlineLevel="1" x14ac:dyDescent="0.25">
      <c r="F42" t="s">
        <v>156</v>
      </c>
      <c r="G42" s="53">
        <v>-450</v>
      </c>
      <c r="H42" s="53"/>
      <c r="I42" s="53"/>
      <c r="N42" s="43"/>
    </row>
    <row r="43" spans="5:14" outlineLevel="1" x14ac:dyDescent="0.25">
      <c r="F43" t="s">
        <v>157</v>
      </c>
      <c r="G43" s="53">
        <v>-640</v>
      </c>
      <c r="H43" s="53"/>
      <c r="I43" s="53"/>
      <c r="N43" s="43"/>
    </row>
    <row r="44" spans="5:14" outlineLevel="1" x14ac:dyDescent="0.25">
      <c r="E44" s="2"/>
      <c r="F44" t="s">
        <v>158</v>
      </c>
      <c r="G44" s="53">
        <v>5700</v>
      </c>
      <c r="H44" s="53"/>
      <c r="I44" s="53"/>
      <c r="N44" s="43"/>
    </row>
    <row r="45" spans="5:14" outlineLevel="1" x14ac:dyDescent="0.25">
      <c r="F45" t="s">
        <v>159</v>
      </c>
      <c r="G45" s="53">
        <v>-130</v>
      </c>
      <c r="H45" s="53"/>
      <c r="I45" s="53"/>
      <c r="N45" s="43"/>
    </row>
    <row r="46" spans="5:14" outlineLevel="1" x14ac:dyDescent="0.25">
      <c r="F46" t="s">
        <v>160</v>
      </c>
      <c r="G46" s="53">
        <v>-250</v>
      </c>
      <c r="H46" s="53"/>
      <c r="I46" s="53"/>
      <c r="N46" s="43"/>
    </row>
    <row r="47" spans="5:14" outlineLevel="1" x14ac:dyDescent="0.25">
      <c r="F47" t="s">
        <v>161</v>
      </c>
      <c r="G47" s="53">
        <v>-112.2</v>
      </c>
      <c r="H47" s="53"/>
      <c r="I47" s="53"/>
      <c r="N47" s="43"/>
    </row>
    <row r="48" spans="5:14" outlineLevel="1" x14ac:dyDescent="0.25">
      <c r="F48" t="s">
        <v>136</v>
      </c>
      <c r="G48" s="53">
        <v>4911</v>
      </c>
      <c r="H48" s="53"/>
      <c r="I48" s="53"/>
      <c r="N48" s="43"/>
    </row>
    <row r="49" spans="6:14" outlineLevel="1" x14ac:dyDescent="0.25">
      <c r="F49" t="s">
        <v>162</v>
      </c>
      <c r="G49" s="53">
        <v>-3000</v>
      </c>
      <c r="H49" s="53"/>
      <c r="I49" s="53"/>
      <c r="N49" s="43"/>
    </row>
    <row r="50" spans="6:14" outlineLevel="1" x14ac:dyDescent="0.25">
      <c r="F50" t="s">
        <v>163</v>
      </c>
      <c r="G50" s="53">
        <v>-4000</v>
      </c>
      <c r="H50" s="53"/>
      <c r="I50" s="53"/>
      <c r="N50" s="43"/>
    </row>
    <row r="51" spans="6:14" outlineLevel="1" x14ac:dyDescent="0.25">
      <c r="F51" t="s">
        <v>164</v>
      </c>
      <c r="G51" s="53">
        <v>-200</v>
      </c>
      <c r="H51" s="53"/>
      <c r="I51" s="53"/>
      <c r="N51" s="43"/>
    </row>
    <row r="52" spans="6:14" outlineLevel="1" x14ac:dyDescent="0.25">
      <c r="F52" t="s">
        <v>139</v>
      </c>
      <c r="G52" s="53">
        <v>-4612</v>
      </c>
      <c r="H52" s="53"/>
      <c r="I52" s="53"/>
      <c r="N52" s="43"/>
    </row>
    <row r="53" spans="6:14" outlineLevel="1" x14ac:dyDescent="0.25">
      <c r="F53" t="s">
        <v>165</v>
      </c>
      <c r="G53" s="53">
        <v>-700</v>
      </c>
      <c r="H53" s="53"/>
      <c r="I53" s="53"/>
      <c r="N53" s="43"/>
    </row>
    <row r="54" spans="6:14" outlineLevel="1" x14ac:dyDescent="0.25">
      <c r="F54" t="s">
        <v>166</v>
      </c>
      <c r="G54" s="53">
        <v>-880</v>
      </c>
      <c r="H54" s="53"/>
      <c r="I54" s="53"/>
      <c r="N54" s="43"/>
    </row>
    <row r="55" spans="6:14" outlineLevel="1" x14ac:dyDescent="0.25">
      <c r="F55" t="s">
        <v>167</v>
      </c>
      <c r="G55" s="53">
        <v>-310</v>
      </c>
      <c r="H55" s="53"/>
      <c r="I55" s="53"/>
      <c r="N55" s="43"/>
    </row>
    <row r="56" spans="6:14" x14ac:dyDescent="0.25">
      <c r="F56" t="s">
        <v>168</v>
      </c>
      <c r="G56" s="53">
        <v>-250</v>
      </c>
      <c r="H56" s="53"/>
      <c r="I56" s="53"/>
      <c r="N56" s="43"/>
    </row>
    <row r="57" spans="6:14" x14ac:dyDescent="0.25">
      <c r="F57" t="s">
        <v>136</v>
      </c>
      <c r="G57" s="53">
        <v>4690</v>
      </c>
      <c r="H57" s="53"/>
      <c r="I57" s="53"/>
      <c r="N57" s="43"/>
    </row>
    <row r="58" spans="6:14" x14ac:dyDescent="0.25">
      <c r="F58" t="s">
        <v>139</v>
      </c>
      <c r="G58" s="53">
        <v>-4440</v>
      </c>
      <c r="H58" s="53"/>
      <c r="I58" s="53"/>
      <c r="N58" s="43"/>
    </row>
    <row r="59" spans="6:14" x14ac:dyDescent="0.25">
      <c r="F59" t="s">
        <v>169</v>
      </c>
      <c r="G59" s="53">
        <v>-4697</v>
      </c>
      <c r="H59" s="53"/>
      <c r="I59" s="53"/>
    </row>
    <row r="60" spans="6:14" x14ac:dyDescent="0.25">
      <c r="F60" t="s">
        <v>170</v>
      </c>
      <c r="G60" s="53">
        <v>-2500</v>
      </c>
      <c r="H60" s="53"/>
      <c r="I60" s="53"/>
    </row>
    <row r="61" spans="6:14" x14ac:dyDescent="0.25">
      <c r="F61" t="s">
        <v>171</v>
      </c>
      <c r="G61" s="53">
        <v>-126</v>
      </c>
      <c r="H61" s="53"/>
      <c r="I61" s="53"/>
    </row>
    <row r="62" spans="6:14" x14ac:dyDescent="0.25">
      <c r="F62" t="s">
        <v>172</v>
      </c>
      <c r="G62" s="53">
        <v>4742</v>
      </c>
      <c r="H62" s="53"/>
      <c r="I62" s="53"/>
    </row>
    <row r="63" spans="6:14" x14ac:dyDescent="0.25">
      <c r="F63" t="s">
        <v>153</v>
      </c>
      <c r="G63" s="53">
        <v>-410</v>
      </c>
      <c r="H63" s="53"/>
      <c r="I63" s="53"/>
    </row>
    <row r="64" spans="6:14" x14ac:dyDescent="0.25">
      <c r="G64" s="53"/>
      <c r="H64" s="53"/>
      <c r="I64" s="53"/>
    </row>
    <row r="65" spans="6:9" x14ac:dyDescent="0.25">
      <c r="F65" t="s">
        <v>173</v>
      </c>
      <c r="G65" s="53">
        <v>3320</v>
      </c>
      <c r="H65" s="53"/>
      <c r="I65" s="53"/>
    </row>
    <row r="66" spans="6:9" x14ac:dyDescent="0.25">
      <c r="F66" t="s">
        <v>174</v>
      </c>
      <c r="G66" s="53">
        <v>4090</v>
      </c>
      <c r="H66" s="53"/>
      <c r="I66" s="53"/>
    </row>
    <row r="67" spans="6:9" x14ac:dyDescent="0.25">
      <c r="F67" t="s">
        <v>175</v>
      </c>
      <c r="G67" s="53">
        <v>-5688</v>
      </c>
      <c r="H67" s="53"/>
      <c r="I67" s="53"/>
    </row>
    <row r="68" spans="6:9" x14ac:dyDescent="0.25">
      <c r="F68" t="s">
        <v>139</v>
      </c>
      <c r="G68" s="53">
        <v>-4433</v>
      </c>
      <c r="H68" s="53"/>
      <c r="I68" s="53"/>
    </row>
    <row r="69" spans="6:9" x14ac:dyDescent="0.25">
      <c r="F69" t="s">
        <v>176</v>
      </c>
      <c r="G69" s="53">
        <v>-250</v>
      </c>
      <c r="H69" s="53"/>
      <c r="I69" s="53"/>
    </row>
    <row r="70" spans="6:9" x14ac:dyDescent="0.25">
      <c r="F70" t="s">
        <v>177</v>
      </c>
      <c r="G70" s="53">
        <v>-99</v>
      </c>
      <c r="H70" s="53"/>
      <c r="I70" s="53"/>
    </row>
    <row r="71" spans="6:9" x14ac:dyDescent="0.25">
      <c r="F71" t="s">
        <v>178</v>
      </c>
      <c r="G71" s="53">
        <v>320</v>
      </c>
      <c r="H71" s="53"/>
      <c r="I71" s="53"/>
    </row>
    <row r="72" spans="6:9" x14ac:dyDescent="0.25">
      <c r="F72" t="s">
        <v>179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136</v>
      </c>
      <c r="G74" s="53">
        <v>4433</v>
      </c>
      <c r="H74" s="53"/>
      <c r="I74" s="53"/>
    </row>
    <row r="75" spans="6:9" x14ac:dyDescent="0.25">
      <c r="F75" t="s">
        <v>180</v>
      </c>
      <c r="G75" s="53">
        <v>8000</v>
      </c>
      <c r="H75" s="53"/>
      <c r="I75" s="53"/>
    </row>
    <row r="76" spans="6:9" x14ac:dyDescent="0.25">
      <c r="F76" t="s">
        <v>181</v>
      </c>
      <c r="G76" s="53">
        <v>-1344</v>
      </c>
      <c r="H76" s="53"/>
      <c r="I76" s="53"/>
    </row>
    <row r="77" spans="6:9" x14ac:dyDescent="0.25">
      <c r="F77" t="s">
        <v>182</v>
      </c>
      <c r="G77" s="53">
        <v>-308</v>
      </c>
      <c r="H77" s="53"/>
      <c r="I77" s="53"/>
    </row>
    <row r="78" spans="6:9" ht="14.25" customHeight="1" x14ac:dyDescent="0.25">
      <c r="F78" t="s">
        <v>139</v>
      </c>
      <c r="G78" s="53">
        <v>-4204</v>
      </c>
      <c r="H78" s="53"/>
      <c r="I78" s="53"/>
    </row>
    <row r="79" spans="6:9" x14ac:dyDescent="0.25">
      <c r="F79" t="s">
        <v>183</v>
      </c>
      <c r="G79" s="53">
        <v>-338</v>
      </c>
      <c r="H79" s="53"/>
      <c r="I79" s="53"/>
    </row>
    <row r="80" spans="6:9" x14ac:dyDescent="0.25">
      <c r="F80" t="s">
        <v>184</v>
      </c>
      <c r="G80" s="53">
        <v>-50</v>
      </c>
      <c r="H80" s="53"/>
      <c r="I80" s="53"/>
    </row>
    <row r="81" spans="6:9" x14ac:dyDescent="0.25">
      <c r="F81" t="s">
        <v>185</v>
      </c>
      <c r="G81" s="53">
        <v>338</v>
      </c>
      <c r="H81" s="53"/>
      <c r="I81" s="53"/>
    </row>
    <row r="82" spans="6:9" x14ac:dyDescent="0.25">
      <c r="F82" t="s">
        <v>186</v>
      </c>
      <c r="G82" s="53">
        <v>-540</v>
      </c>
      <c r="H82" s="53"/>
      <c r="I82" s="53"/>
    </row>
    <row r="83" spans="6:9" x14ac:dyDescent="0.25">
      <c r="F83" t="s">
        <v>187</v>
      </c>
      <c r="G83" s="53">
        <v>-184.31</v>
      </c>
      <c r="H83" s="53"/>
      <c r="I83" s="53"/>
    </row>
    <row r="84" spans="6:9" x14ac:dyDescent="0.25">
      <c r="F84" t="s">
        <v>179</v>
      </c>
      <c r="G84" s="53">
        <v>-1464.22</v>
      </c>
      <c r="H84" s="53"/>
      <c r="I84" s="53"/>
    </row>
    <row r="85" spans="6:9" x14ac:dyDescent="0.25">
      <c r="F85" t="s">
        <v>178</v>
      </c>
      <c r="G85" s="53">
        <v>1005</v>
      </c>
      <c r="H85" s="53"/>
      <c r="I85" s="53"/>
    </row>
    <row r="86" spans="6:9" x14ac:dyDescent="0.25">
      <c r="F86" t="s">
        <v>188</v>
      </c>
      <c r="G86" s="53">
        <v>-500</v>
      </c>
      <c r="H86" s="53"/>
      <c r="I86" s="53"/>
    </row>
    <row r="87" spans="6:9" x14ac:dyDescent="0.25">
      <c r="F87" t="s">
        <v>189</v>
      </c>
      <c r="G87" s="53">
        <v>-225</v>
      </c>
      <c r="H87" s="53"/>
      <c r="I87" s="53"/>
    </row>
    <row r="88" spans="6:9" x14ac:dyDescent="0.25">
      <c r="F88" t="s">
        <v>190</v>
      </c>
      <c r="G88" s="53">
        <v>-516</v>
      </c>
      <c r="H88" s="53"/>
      <c r="I88" s="53"/>
    </row>
    <row r="89" spans="6:9" x14ac:dyDescent="0.25">
      <c r="F89" t="s">
        <v>191</v>
      </c>
      <c r="G89" s="53">
        <v>4204</v>
      </c>
      <c r="H89" s="53"/>
      <c r="I89" s="53"/>
    </row>
    <row r="90" spans="6:9" x14ac:dyDescent="0.25">
      <c r="F90" t="s">
        <v>192</v>
      </c>
      <c r="G90" s="53">
        <v>-100</v>
      </c>
      <c r="H90" s="53"/>
      <c r="I90" s="53"/>
    </row>
    <row r="91" spans="6:9" x14ac:dyDescent="0.25">
      <c r="F91" t="s">
        <v>193</v>
      </c>
      <c r="G91" s="53">
        <v>8000</v>
      </c>
      <c r="H91" s="53"/>
      <c r="I91" s="53"/>
    </row>
    <row r="92" spans="6:9" x14ac:dyDescent="0.25">
      <c r="F92" t="s">
        <v>194</v>
      </c>
      <c r="G92" s="53">
        <v>1000</v>
      </c>
      <c r="H92" s="53"/>
      <c r="I92" s="53"/>
    </row>
    <row r="93" spans="6:9" x14ac:dyDescent="0.25">
      <c r="F93" t="s">
        <v>195</v>
      </c>
      <c r="G93" s="53">
        <v>-12881</v>
      </c>
      <c r="H93" s="53"/>
      <c r="I93" s="53"/>
    </row>
    <row r="94" spans="6:9" x14ac:dyDescent="0.25">
      <c r="F94" t="s">
        <v>196</v>
      </c>
      <c r="G94" s="53">
        <v>-4489.62</v>
      </c>
      <c r="H94" s="53"/>
      <c r="I94" s="53"/>
    </row>
    <row r="95" spans="6:9" x14ac:dyDescent="0.25">
      <c r="F95" t="s">
        <v>197</v>
      </c>
      <c r="G95" s="53">
        <v>5000</v>
      </c>
      <c r="H95" s="53"/>
      <c r="I95" s="53"/>
    </row>
    <row r="96" spans="6:9" x14ac:dyDescent="0.25">
      <c r="F96" t="s">
        <v>198</v>
      </c>
      <c r="G96" s="53">
        <v>-480</v>
      </c>
      <c r="H96" s="53"/>
      <c r="I96" s="53"/>
    </row>
    <row r="97" spans="2:9" x14ac:dyDescent="0.25">
      <c r="B97" t="s">
        <v>199</v>
      </c>
      <c r="C97" s="53">
        <v>-750</v>
      </c>
      <c r="D97" s="53"/>
      <c r="F97" t="s">
        <v>200</v>
      </c>
      <c r="G97" s="53">
        <v>-520</v>
      </c>
      <c r="H97" s="53"/>
      <c r="I97" s="53"/>
    </row>
    <row r="98" spans="2:9" x14ac:dyDescent="0.25">
      <c r="B98" t="s">
        <v>136</v>
      </c>
      <c r="C98" s="53">
        <v>5587.28</v>
      </c>
      <c r="D98" s="53"/>
      <c r="F98" t="s">
        <v>201</v>
      </c>
      <c r="G98" s="53">
        <v>5556.2</v>
      </c>
      <c r="H98" s="53"/>
      <c r="I98" s="53"/>
    </row>
    <row r="99" spans="2:9" x14ac:dyDescent="0.25">
      <c r="B99" t="s">
        <v>202</v>
      </c>
      <c r="C99" s="53"/>
      <c r="D99" s="53"/>
      <c r="F99" t="s">
        <v>203</v>
      </c>
      <c r="G99" s="53">
        <v>-500</v>
      </c>
      <c r="H99" s="53"/>
      <c r="I99" s="53"/>
    </row>
    <row r="100" spans="2:9" x14ac:dyDescent="0.25">
      <c r="B100" t="s">
        <v>204</v>
      </c>
      <c r="C100" s="53">
        <v>2000</v>
      </c>
      <c r="D100" s="53">
        <v>300</v>
      </c>
      <c r="F100" t="s">
        <v>205</v>
      </c>
      <c r="G100" s="53">
        <v>-276</v>
      </c>
      <c r="H100" s="53"/>
      <c r="I100" s="53"/>
    </row>
    <row r="101" spans="2:9" x14ac:dyDescent="0.25">
      <c r="B101" t="s">
        <v>206</v>
      </c>
      <c r="C101" s="53">
        <v>8000</v>
      </c>
      <c r="D101" s="53"/>
      <c r="F101" t="s">
        <v>207</v>
      </c>
      <c r="G101" s="53">
        <v>-250</v>
      </c>
      <c r="H101" s="53"/>
      <c r="I101" s="53"/>
    </row>
    <row r="102" spans="2:9" x14ac:dyDescent="0.25">
      <c r="B102" t="s">
        <v>208</v>
      </c>
      <c r="C102" s="53">
        <v>4180</v>
      </c>
      <c r="D102" s="53"/>
      <c r="F102" t="s">
        <v>209</v>
      </c>
      <c r="G102" s="53">
        <v>-4837.28</v>
      </c>
      <c r="H102" s="53"/>
      <c r="I102" s="53"/>
    </row>
    <row r="103" spans="2:9" x14ac:dyDescent="0.25">
      <c r="C103" s="53"/>
      <c r="D103" s="53"/>
      <c r="F103" t="s">
        <v>171</v>
      </c>
      <c r="G103" s="53">
        <v>-150</v>
      </c>
      <c r="H103" s="53"/>
      <c r="I103" s="53"/>
    </row>
    <row r="104" spans="2:9" x14ac:dyDescent="0.25">
      <c r="B104" t="s">
        <v>210</v>
      </c>
      <c r="C104" s="53">
        <v>2000</v>
      </c>
      <c r="D104" s="53">
        <v>300</v>
      </c>
      <c r="F104" t="s">
        <v>108</v>
      </c>
      <c r="G104" s="53">
        <v>-172.8</v>
      </c>
      <c r="H104" s="53"/>
      <c r="I104" s="53"/>
    </row>
    <row r="105" spans="2:9" x14ac:dyDescent="0.25">
      <c r="B105" t="s">
        <v>211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212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213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214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215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216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217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218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C115" s="53"/>
      <c r="G115" s="53"/>
      <c r="H115" s="53"/>
      <c r="I115" s="53"/>
    </row>
    <row r="116" spans="2:9" x14ac:dyDescent="0.25">
      <c r="C116" s="53"/>
      <c r="G116" s="53"/>
      <c r="H116" s="53"/>
      <c r="I116" s="53"/>
    </row>
    <row r="117" spans="2:9" x14ac:dyDescent="0.25">
      <c r="C117" s="53"/>
      <c r="G117" s="53"/>
      <c r="H117" s="53"/>
      <c r="I117" s="53"/>
    </row>
    <row r="118" spans="2:9" x14ac:dyDescent="0.25">
      <c r="C118" s="53"/>
      <c r="G118" s="53"/>
      <c r="H118" s="53"/>
      <c r="I118" s="53"/>
    </row>
    <row r="119" spans="2:9" x14ac:dyDescent="0.25">
      <c r="C119" s="53"/>
      <c r="G119" s="53"/>
      <c r="H119" s="53"/>
      <c r="I119" s="53"/>
    </row>
    <row r="120" spans="2:9" x14ac:dyDescent="0.25">
      <c r="C120" s="53"/>
      <c r="G120" s="53"/>
      <c r="H120" s="53"/>
      <c r="I120" s="53"/>
    </row>
    <row r="121" spans="2:9" x14ac:dyDescent="0.25">
      <c r="C121" s="53"/>
      <c r="G121" s="53"/>
      <c r="H121" s="53"/>
      <c r="I121" s="53"/>
    </row>
    <row r="122" spans="2:9" x14ac:dyDescent="0.25">
      <c r="G122" s="53"/>
      <c r="H122" s="72"/>
      <c r="I122" s="53"/>
    </row>
    <row r="123" spans="2:9" x14ac:dyDescent="0.25">
      <c r="G123" s="53"/>
      <c r="H123" s="72"/>
      <c r="I123" s="53"/>
    </row>
    <row r="124" spans="2:9" x14ac:dyDescent="0.25">
      <c r="G124" s="53"/>
      <c r="H124" s="72"/>
      <c r="I124" s="53"/>
    </row>
    <row r="125" spans="2:9" x14ac:dyDescent="0.25">
      <c r="G125" s="53"/>
      <c r="H125" s="72"/>
      <c r="I125" s="53"/>
    </row>
    <row r="126" spans="2:9" x14ac:dyDescent="0.25">
      <c r="G126" s="53"/>
      <c r="H126" s="72"/>
      <c r="I126" s="53"/>
    </row>
    <row r="127" spans="2:9" x14ac:dyDescent="0.25">
      <c r="G127" s="53"/>
      <c r="H127" s="72"/>
      <c r="I127" s="53"/>
    </row>
    <row r="128" spans="2:9" x14ac:dyDescent="0.25">
      <c r="G128" s="53"/>
      <c r="H128" s="72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97:D114 C115:C121">
    <cfRule type="cellIs" dxfId="14" priority="191" operator="greaterThan">
      <formula>0</formula>
    </cfRule>
    <cfRule type="cellIs" dxfId="13" priority="192" operator="lessThan">
      <formula>0</formula>
    </cfRule>
  </conditionalFormatting>
  <conditionalFormatting sqref="G123:G1048576">
    <cfRule type="cellIs" dxfId="12" priority="19" operator="greaterThan">
      <formula>0</formula>
    </cfRule>
    <cfRule type="cellIs" dxfId="11" priority="20" operator="lessThan">
      <formula>0</formula>
    </cfRule>
  </conditionalFormatting>
  <conditionalFormatting sqref="G96:H122">
    <cfRule type="cellIs" dxfId="2" priority="1" operator="greaterThan">
      <formula>0</formula>
    </cfRule>
    <cfRule type="cellIs" dxfId="1" priority="2" operator="lessThan">
      <formula>0</formula>
    </cfRule>
  </conditionalFormatting>
  <conditionalFormatting sqref="G14:I95">
    <cfRule type="cellIs" dxfId="10" priority="31" operator="greaterThan">
      <formula>0</formula>
    </cfRule>
    <cfRule type="cellIs" dxfId="9" priority="32" operator="lessThan">
      <formula>0</formula>
    </cfRule>
  </conditionalFormatting>
  <conditionalFormatting sqref="H123:H130">
    <cfRule type="cellIs" dxfId="8" priority="13" operator="greaterThan">
      <formula>0</formula>
    </cfRule>
    <cfRule type="cellIs" dxfId="7" priority="14" operator="lessThan">
      <formula>0</formula>
    </cfRule>
  </conditionalFormatting>
  <conditionalFormatting sqref="H131:I266">
    <cfRule type="cellIs" dxfId="6" priority="189" operator="greaterThan">
      <formula>0</formula>
    </cfRule>
    <cfRule type="cellIs" dxfId="5" priority="190" operator="lessThan">
      <formula>0</formula>
    </cfRule>
  </conditionalFormatting>
  <conditionalFormatting sqref="I96:I130">
    <cfRule type="cellIs" dxfId="4" priority="37" operator="greaterThan">
      <formula>0</formula>
    </cfRule>
    <cfRule type="cellIs" dxfId="3" priority="38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219</v>
      </c>
      <c r="C1" s="63" t="s">
        <v>220</v>
      </c>
      <c r="D1" s="62" t="s">
        <v>221</v>
      </c>
    </row>
    <row r="2" spans="2:4" x14ac:dyDescent="0.25">
      <c r="B2" s="54" t="s">
        <v>23</v>
      </c>
      <c r="C2" s="37" t="s">
        <v>222</v>
      </c>
      <c r="D2" s="54"/>
    </row>
    <row r="3" spans="2:4" x14ac:dyDescent="0.25">
      <c r="B3" s="54" t="s">
        <v>110</v>
      </c>
      <c r="C3" s="37" t="s">
        <v>223</v>
      </c>
      <c r="D3" s="54"/>
    </row>
    <row r="4" spans="2:4" x14ac:dyDescent="0.25">
      <c r="B4" s="54" t="s">
        <v>111</v>
      </c>
      <c r="C4" s="37" t="s">
        <v>223</v>
      </c>
      <c r="D4" s="54"/>
    </row>
    <row r="5" spans="2:4" x14ac:dyDescent="0.25">
      <c r="B5" s="54" t="s">
        <v>112</v>
      </c>
      <c r="C5" s="37" t="s">
        <v>222</v>
      </c>
      <c r="D5" s="54"/>
    </row>
    <row r="6" spans="2:4" x14ac:dyDescent="0.25">
      <c r="B6" s="54" t="s">
        <v>113</v>
      </c>
      <c r="C6" s="37" t="s">
        <v>223</v>
      </c>
      <c r="D6" s="54"/>
    </row>
    <row r="7" spans="2:4" x14ac:dyDescent="0.25">
      <c r="B7" s="54" t="s">
        <v>224</v>
      </c>
      <c r="C7" s="37" t="s">
        <v>222</v>
      </c>
      <c r="D7" s="54"/>
    </row>
    <row r="8" spans="2:4" x14ac:dyDescent="0.25">
      <c r="B8" s="54" t="s">
        <v>225</v>
      </c>
      <c r="C8" s="37" t="s">
        <v>223</v>
      </c>
      <c r="D8" s="54"/>
    </row>
    <row r="9" spans="2:4" x14ac:dyDescent="0.25">
      <c r="B9" s="54" t="s">
        <v>123</v>
      </c>
      <c r="C9" s="37" t="s">
        <v>223</v>
      </c>
      <c r="D9" s="54" t="s">
        <v>226</v>
      </c>
    </row>
    <row r="10" spans="2:4" x14ac:dyDescent="0.25">
      <c r="B10" s="54" t="s">
        <v>227</v>
      </c>
      <c r="C10" s="37" t="s">
        <v>223</v>
      </c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2026-10-03T19:12:22Z</dcterms:modified>
  <cp:category/>
  <cp:contentStatus/>
</cp:coreProperties>
</file>